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d661282f9549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经营总览" sheetId="1" r:id="R85422946b57c4a35"/>
    <x:sheet xmlns:r="http://schemas.openxmlformats.org/officeDocument/2006/relationships" name="假设" sheetId="2" r:id="R06f9e389a03f469e"/>
    <x:sheet xmlns:r="http://schemas.openxmlformats.org/officeDocument/2006/relationships" name="销售漏斗" sheetId="3" r:id="Rffcc436c30434230"/>
    <x:sheet xmlns:r="http://schemas.openxmlformats.org/officeDocument/2006/relationships" name="项目单价" sheetId="4" r:id="Rf9ebf2730cb449d2"/>
    <x:sheet xmlns:r="http://schemas.openxmlformats.org/officeDocument/2006/relationships" name="合同排期" sheetId="5" r:id="R89c79c8538824a11"/>
    <x:sheet xmlns:r="http://schemas.openxmlformats.org/officeDocument/2006/relationships" name="项目月度" sheetId="6" r:id="R446181a51cee4dbe"/>
    <x:sheet xmlns:r="http://schemas.openxmlformats.org/officeDocument/2006/relationships" name="费用预算" sheetId="7" r:id="R8538070714c7440c"/>
    <x:sheet xmlns:r="http://schemas.openxmlformats.org/officeDocument/2006/relationships" name="月度经营" sheetId="8" r:id="R08d83b74e9b74bf6"/>
    <x:sheet xmlns:r="http://schemas.openxmlformats.org/officeDocument/2006/relationships" name="四年发展" sheetId="9" r:id="R158a6089defe4649"/>
    <x:sheet xmlns:r="http://schemas.openxmlformats.org/officeDocument/2006/relationships" name="市场校验" sheetId="10" r:id="R89c89a6462904183"/>
    <x:sheet xmlns:r="http://schemas.openxmlformats.org/officeDocument/2006/relationships" name="来源" sheetId="11" r:id="R6432e0ceb0d14fa7"/>
    <x:sheet xmlns:r="http://schemas.openxmlformats.org/officeDocument/2006/relationships" name="核验" sheetId="12" r:id="R1870c01ad35d4224"/>
    <x:sheet xmlns:r="http://schemas.openxmlformats.org/officeDocument/2006/relationships" name="续费队列" sheetId="13" r:id="Rca01cd0144374a55"/>
    <x:sheet xmlns:r="http://schemas.openxmlformats.org/officeDocument/2006/relationships" name="资金与边界" sheetId="14" r:id="R7c5eb6f9f0e34e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;(#,##0.0);&quot;-&quot;"/>
    <x:numFmt numFmtId="201" formatCode="0.0%"/>
    <x:numFmt numFmtId="202" formatCode="0.00"/>
  </x:numFmts>
  <x:fonts count="6">
    <x:font>
      <x:sz val="11"/>
      <x:name val="Carlito"/>
    </x:font>
    <x:font>
      <x:sz val="10"/>
      <x:color rgb="FF202A35"/>
      <x:name val="Arial"/>
    </x:font>
    <x:font>
      <x:b/>
      <x:sz val="15"/>
      <x:color rgb="FF18334C"/>
      <x:name val="Arial"/>
    </x:font>
    <x:font>
      <x:b/>
      <x:sz val="10"/>
      <x:color rgb="FFFFFFFF"/>
      <x:name val="Arial"/>
    </x:font>
    <x:font>
      <x:sz val="10"/>
      <x:color rgb="FF00804A"/>
      <x:name val="Arial"/>
    </x:font>
    <x:font>
      <x:sz val="10"/>
      <x:color rgb="FF1760AE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8334C"/>
      </x:patternFill>
    </x:fill>
    <x:fill>
      <x:patternFill patternType="solid">
        <x:fgColor rgb="FFFFF0B8"/>
      </x:patternFill>
    </x:fill>
    <x:fill>
      <x:patternFill patternType="solid">
        <x:fgColor rgb="FFE7EEF4"/>
      </x:patternFill>
    </x:fill>
    <x:fill>
      <x:patternFill patternType="solid">
        <x:fgColor rgb="FFFFF6D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200" fontId="5" fillId="3" borderId="0" xfId="0" applyNumberFormat="1" applyFont="1" applyFill="1" applyBorder="1"/>
    <x:xf numFmtId="0" fontId="1" fillId="4" borderId="0" xfId="0" applyNumberFormat="1" applyFont="1" applyFill="1" applyBorder="1"/>
    <x:xf numFmtId="200" fontId="1" fillId="4" borderId="0" xfId="0" applyNumberFormat="1" applyFont="1" applyFill="1" applyBorder="1"/>
    <x:xf numFmtId="200" fontId="5" fillId="5" borderId="0" xfId="0" applyNumberFormat="1" applyFont="1" applyFill="1" applyBorder="1"/>
    <x:xf numFmtId="201" fontId="5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0"/>
    </x:xf>
    <x:xf numFmtId="201" fontId="4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0"/>
    </x:xf>
    <x:xf numFmtId="0" fontId="1" fillId="0" borderId="0" xfId="0" applyNumberFormat="1" applyFont="1" applyFill="1" applyBorder="1" applyAlignment="1">
      <x:alignment wrapText="1"/>
    </x:xf>
    <x:xf numFmtId="200" fontId="5" fillId="0" borderId="0" xfId="0" applyNumberFormat="1" applyFont="1" applyFill="1" applyBorder="1" applyAlignment="1">
      <x:alignment wrapText="1"/>
    </x:xf>
    <x:xf numFmtId="202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7e9e46cf8d4ce8" /><Relationship Type="http://schemas.openxmlformats.org/officeDocument/2006/relationships/theme" Target="/xl/theme/theme1.xml" Id="R4c1ea6f78a0a4022" /><Relationship Type="http://schemas.openxmlformats.org/officeDocument/2006/relationships/sharedStrings" Target="/xl/sharedStrings.xml" Id="R216c94d783b44be3" /><Relationship Type="http://schemas.openxmlformats.org/officeDocument/2006/relationships/worksheet" Target="/xl/worksheets/sheet1.xml" Id="R85422946b57c4a35" /><Relationship Type="http://schemas.openxmlformats.org/officeDocument/2006/relationships/worksheet" Target="/xl/worksheets/sheet2.xml" Id="R06f9e389a03f469e" /><Relationship Type="http://schemas.openxmlformats.org/officeDocument/2006/relationships/worksheet" Target="/xl/worksheets/sheet3.xml" Id="Rffcc436c30434230" /><Relationship Type="http://schemas.openxmlformats.org/officeDocument/2006/relationships/worksheet" Target="/xl/worksheets/sheet4.xml" Id="Rf9ebf2730cb449d2" /><Relationship Type="http://schemas.openxmlformats.org/officeDocument/2006/relationships/worksheet" Target="/xl/worksheets/sheet5.xml" Id="R89c79c8538824a11" /><Relationship Type="http://schemas.openxmlformats.org/officeDocument/2006/relationships/worksheet" Target="/xl/worksheets/sheet6.xml" Id="R446181a51cee4dbe" /><Relationship Type="http://schemas.openxmlformats.org/officeDocument/2006/relationships/worksheet" Target="/xl/worksheets/sheet7.xml" Id="R8538070714c7440c" /><Relationship Type="http://schemas.openxmlformats.org/officeDocument/2006/relationships/worksheet" Target="/xl/worksheets/sheet8.xml" Id="R08d83b74e9b74bf6" /><Relationship Type="http://schemas.openxmlformats.org/officeDocument/2006/relationships/worksheet" Target="/xl/worksheets/sheet9.xml" Id="R158a6089defe4649" /><Relationship Type="http://schemas.openxmlformats.org/officeDocument/2006/relationships/worksheet" Target="/xl/worksheets/sheet10.xml" Id="R89c89a6462904183" /><Relationship Type="http://schemas.openxmlformats.org/officeDocument/2006/relationships/worksheet" Target="/xl/worksheets/sheet11.xml" Id="R6432e0ceb0d14fa7" /><Relationship Type="http://schemas.openxmlformats.org/officeDocument/2006/relationships/worksheet" Target="/xl/worksheets/sheet12.xml" Id="R1870c01ad35d4224" /><Relationship Type="http://schemas.openxmlformats.org/officeDocument/2006/relationships/worksheet" Target="/xl/worksheets/sheet13.xml" Id="Rca01cd0144374a55" /><Relationship Type="http://schemas.openxmlformats.org/officeDocument/2006/relationships/worksheet" Target="/xl/worksheets/sheet14.xml" Id="R7c5eb6f9f0e34e8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5ab70c10edd40f3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ab96b02a51464bc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签约、收入和回款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Series 1</c:v>
          </c:tx>
          <c:invertIfNegative val="0"/>
          <c:cat>
            <c:strRef>
              <c:f>'经营总览'!$C$6:$C$8</c:f>
              <c:strCache>
                <c:ptCount val="0"/>
              </c:strCache>
            </c:strRef>
          </c:cat>
          <c:val>
            <c:numRef>
              <c:f>'经营总览'!$D$6:$D$8</c:f>
              <c:numCache>
                <c:formatCode>#,##0.0;(#,##0.0);"-"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累计现金流（万美元）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累计现金流</c:v>
          </c:tx>
          <c:marker>
            <c:symbol val="none"/>
          </c:marker>
          <c:cat>
            <c:strRef>
              <c:f>'月度经营'!$C$34:$C$45</c:f>
              <c:strCache>
                <c:ptCount val="0"/>
              </c:strCache>
            </c:strRef>
          </c:cat>
          <c:val>
            <c:numRef>
              <c:f>'月度经营'!$D$34:$D$45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4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5ab70c10edd40f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5</xdr:col>
      <xdr:colOff>0</xdr:colOff>
      <xdr:row>31</xdr:row>
      <xdr:rowOff>0</xdr:rowOff>
    </xdr:from>
    <xdr:to>
      <xdr:col>16</xdr:col>
      <xdr:colOff>0</xdr:colOff>
      <xdr:row>47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b96b02a51464bcf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6dadd5877c94e2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2.xml" Id="R4f2b2b4e148047fd" /></Relationships>
</file>

<file path=xl/worksheets/sheet1.xml><?xml version="1.0" encoding="utf-8"?>
<x:worksheet xmlns:x="http://schemas.openxmlformats.org/spreadsheetml/2006/main">
  <x:sheetPr>
    <x:tabColor rgb="FF18334C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31" hidden="0" customWidth="1"/>
    <x:col min="4" max="4" width="20" hidden="0" customWidth="1"/>
    <x:col min="5" max="5" width="65" hidden="0" customWidth="1"/>
  </x:cols>
  <x:sheetData>
    <x:row r="1" ht="23" customHeight="1">
      <x:c r="A1" s="1"/>
      <x:c r="B1" s="1"/>
      <x:c r="C1" s="1"/>
      <x:c r="D1" s="1"/>
      <x:c r="E1" s="1"/>
    </x:row>
    <x:row r="2" ht="23" customHeight="1">
      <x:c r="A2" s="1"/>
      <x:c r="B2" s="1"/>
      <x:c r="C2" s="3" t="str">
        <x:v>布比中东 经营总览（金额：万美元）</x:v>
      </x:c>
      <x:c r="D2" s="3"/>
      <x:c r="E2" s="3"/>
    </x:row>
    <x:row r="3" ht="23" customHeight="1">
      <x:c r="A3" s="1"/>
      <x:c r="B3" s="1"/>
      <x:c r="C3" s="1" t="str">
        <x:v>情景</x:v>
      </x:c>
      <x:c r="D3" s="2" t="str">
        <x:f>CHOOSE('假设'!D4,"谨慎进入","资源到位目标","突破目标")</x:f>
        <x:v>资源到位目标</x:v>
      </x:c>
      <x:c r="E3" s="1"/>
    </x:row>
    <x:row r="4" ht="23" customHeight="1">
      <x:c r="A4" s="1"/>
      <x:c r="B4" s="1"/>
      <x:c r="C4" s="1"/>
      <x:c r="D4" s="1"/>
      <x:c r="E4" s="1"/>
    </x:row>
    <x:row r="5" ht="32" customHeight="1">
      <x:c r="A5" s="1"/>
      <x:c r="B5" s="1"/>
      <x:c r="C5" s="6" t="str">
        <x:v>指标</x:v>
      </x:c>
      <x:c r="D5" s="6" t="str">
        <x:v>当前情景</x:v>
      </x:c>
      <x:c r="E5" s="6" t="str">
        <x:v>解释</x:v>
      </x:c>
    </x:row>
    <x:row r="6" ht="23" customHeight="1">
      <x:c r="A6" s="1"/>
      <x:c r="B6" s="1"/>
      <x:c r="C6" s="1" t="str">
        <x:v>首年净签约</x:v>
      </x:c>
      <x:c r="D6" s="2" t="n">
        <x:f>'月度经营'!D6</x:f>
        <x:v>476</x:v>
      </x:c>
      <x:c r="E6" s="1" t="str">
        <x:v>不含税、代收款、可取消框架额度</x:v>
      </x:c>
    </x:row>
    <x:row r="7" ht="23" customHeight="1">
      <x:c r="A7" s="1"/>
      <x:c r="B7" s="1"/>
      <x:c r="C7" s="1" t="str">
        <x:v>首年确认收入</x:v>
      </x:c>
      <x:c r="D7" s="2" t="n">
        <x:f>'月度经营'!D7</x:f>
        <x:v>410</x:v>
      </x:c>
      <x:c r="E7" s="1" t="str">
        <x:v>一次性交付按验收月，支持按服务月</x:v>
      </x:c>
    </x:row>
    <x:row r="8" ht="23" customHeight="1">
      <x:c r="A8" s="1"/>
      <x:c r="B8" s="1"/>
      <x:c r="C8" s="1" t="str">
        <x:v>首年实际回款</x:v>
      </x:c>
      <x:c r="D8" s="2" t="n">
        <x:f>'月度经营'!D9</x:f>
        <x:v>375.5</x:v>
      </x:c>
      <x:c r="E8" s="1" t="str">
        <x:v>按里程碑开票和回款间隔计算</x:v>
      </x:c>
    </x:row>
    <x:row r="9" ht="23" customHeight="1">
      <x:c r="A9" s="1"/>
      <x:c r="B9" s="1"/>
      <x:c r="C9" s="1" t="str">
        <x:v>毛利</x:v>
      </x:c>
      <x:c r="D9" s="2" t="n">
        <x:f>'月度经营'!D11</x:f>
        <x:v>193.59999999999997</x:v>
      </x:c>
      <x:c r="E9" s="1" t="str">
        <x:v>含全部工程成本、分包、佣金</x:v>
      </x:c>
    </x:row>
    <x:row r="10" ht="23" customHeight="1">
      <x:c r="A10" s="1"/>
      <x:c r="B10" s="1"/>
      <x:c r="C10" s="1" t="str">
        <x:v>固定经营费用</x:v>
      </x:c>
      <x:c r="D10" s="2" t="n">
        <x:f>'月度经营'!D14</x:f>
        <x:v>124.52125255275699</x:v>
      </x:c>
      <x:c r="E10" s="1" t="str">
        <x:v>岗位及到岗月份+费用项目</x:v>
      </x:c>
    </x:row>
    <x:row r="11" ht="23" customHeight="1">
      <x:c r="A11" s="1"/>
      <x:c r="B11" s="1"/>
      <x:c r="C11" s="1" t="str">
        <x:v>经营贡献</x:v>
      </x:c>
      <x:c r="D11" s="2" t="n">
        <x:f>'月度经营'!D15</x:f>
        <x:v>69.07874744724302</x:v>
      </x:c>
      <x:c r="E11" s="1" t="str">
        <x:v>税前，未计融资、总部公共管理分摊</x:v>
      </x:c>
    </x:row>
    <x:row r="12" ht="23" customHeight="1">
      <x:c r="A12" s="1"/>
      <x:c r="B12" s="1"/>
      <x:c r="C12" s="1" t="str">
        <x:v>现金支出</x:v>
      </x:c>
      <x:c r="D12" s="2" t="n">
        <x:f>'月度经营'!D17</x:f>
        <x:v>335.896252552757</x:v>
      </x:c>
      <x:c r="E12" s="1" t="str">
        <x:v>项目实际支出加固定费用</x:v>
      </x:c>
    </x:row>
    <x:row r="13" ht="23" customHeight="1">
      <x:c r="A13" s="1"/>
      <x:c r="B13" s="1"/>
      <x:c r="C13" s="1" t="str">
        <x:v>净现金流</x:v>
      </x:c>
      <x:c r="D13" s="2" t="n">
        <x:f>'月度经营'!D18</x:f>
        <x:v>39.60374744724304</x:v>
      </x:c>
      <x:c r="E13" s="1" t="str">
        <x:v>正值回流，负值为当年净资金需要</x:v>
      </x:c>
    </x:row>
    <x:row r="14" ht="23" customHeight="1">
      <x:c r="A14" s="1"/>
      <x:c r="B14" s="1"/>
      <x:c r="C14" s="1" t="str">
        <x:v>年内最大累计缺口</x:v>
      </x:c>
      <x:c r="D14" s="2" t="n">
        <x:f>MAX(0,-MIN('月度经营'!E19:P19))</x:f>
        <x:v>81.63490382184187</x:v>
      </x:c>
      <x:c r="E14" s="1" t="str">
        <x:v>资金需在收入前投入</x:v>
      </x:c>
    </x:row>
    <x:row r="15" ht="23" customHeight="1">
      <x:c r="A15" s="1"/>
      <x:c r="B15" s="1"/>
      <x:c r="C15" s="1" t="str">
        <x:v>三个月固定费用储备</x:v>
      </x:c>
      <x:c r="D15" s="2" t="n">
        <x:f>SUM('月度经营'!N14:P14)</x:f>
        <x:v>26.610317222600404</x:v>
      </x:c>
      <x:c r="E15" s="1" t="str">
        <x:v>不包含未签项目无限额度</x:v>
      </x:c>
    </x:row>
    <x:row r="16" ht="23" customHeight="1">
      <x:c r="A16" s="1"/>
      <x:c r="B16" s="1"/>
      <x:c r="C16" s="1" t="str">
        <x:v>最低建议周转额度</x:v>
      </x:c>
      <x:c r="D16" s="2" t="n">
        <x:f>D14+D15</x:f>
        <x:v>108.24522104444227</x:v>
      </x:c>
      <x:c r="E16" s="1" t="str">
        <x:v>最大缺口加固定费用储备，未含税款占用</x:v>
      </x:c>
    </x:row>
    <x:row r="17" ht="23" customHeight="1">
      <x:c r="A17" s="1"/>
      <x:c r="B17" s="1"/>
      <x:c r="C17" s="1" t="str">
        <x:v>峰值名义工程FTE</x:v>
      </x:c>
      <x:c r="D17" s="2" t="n">
        <x:f>'月度经营'!D21</x:f>
        <x:v>36</x:v>
      </x:c>
      <x:c r="E17" s="1" t="str">
        <x:v>利用率75%；需总部及合格交付伙伴共同锁定</x:v>
      </x:c>
    </x:row>
    <x:row r="18" ht="23" customHeight="1">
      <x:c r="A18" s="1"/>
      <x:c r="B18" s="1"/>
      <x:c r="C18" s="1" t="str">
        <x:v>年末生效ARR</x:v>
      </x:c>
      <x:c r="D18" s="2" t="n">
        <x:f>'月度经营'!D22</x:f>
        <x:v>36</x:v>
      </x:c>
      <x:c r="E18" s="1" t="str">
        <x:v>尚未开始服务的签约支持不计</x:v>
      </x:c>
    </x:row>
    <x:row r="19" ht="23" customHeight="1">
      <x:c r="A19" s="1"/>
      <x:c r="B19" s="1"/>
      <x:c r="C19" s="1" t="str">
        <x:v>年内验收生产平台</x:v>
      </x:c>
      <x:c r="D19" s="2" t="n">
        <x:f>COUNTIFS('合同排期'!D6:D25,"&lt;&gt;收费验证",'合同排期'!F6:F25,1,'合同排期'!I6:I25,"&lt;=12")</x:f>
        <x:v>5</x:v>
      </x:c>
      <x:c r="E19" s="1" t="str">
        <x:v>企业平台+产业平台，验证不重复计客户</x:v>
      </x:c>
    </x:row>
    <x:row r="20" ht="23" customHeight="1">
      <x:c r="A20" s="1"/>
      <x:c r="B20" s="1"/>
      <x:c r="C20" s="1"/>
      <x:c r="D20" s="1"/>
      <x:c r="E20" s="1"/>
    </x:row>
    <x:row r="21" ht="23" customHeight="1">
      <x:c r="A21" s="1"/>
      <x:c r="B21" s="1"/>
      <x:c r="C21" s="1"/>
      <x:c r="D21" s="1"/>
      <x:c r="E21" s="1"/>
    </x:row>
    <x:row r="22" ht="23" customHeight="1">
      <x:c r="A22" s="1"/>
      <x:c r="B22" s="1"/>
      <x:c r="C22" s="1"/>
      <x:c r="D22" s="1"/>
      <x:c r="E22" s="1"/>
    </x:row>
    <x:row r="23" ht="23" customHeight="1">
      <x:c r="A23" s="1"/>
      <x:c r="B23" s="1"/>
      <x:c r="C23" s="1" t="str">
        <x:v>目标性质</x:v>
      </x:c>
      <x:c r="D23" s="1" t="str">
        <x:v>资源到位条件目标。没有真实CRM，不提供已确认承诺预测。</x:v>
      </x:c>
      <x:c r="E23" s="1"/>
    </x:row>
    <x:row r="24" ht="23" customHeight="1">
      <x:c r="A24" s="1"/>
      <x:c r="B24" s="1"/>
      <x:c r="C24" s="1" t="str">
        <x:v>读数方法</x:v>
      </x:c>
      <x:c r="D24" s="1" t="str">
        <x:v>先看峰值工程人数与周转额度，再判断目标可承接性。</x:v>
      </x:c>
      <x:c r="E24" s="1"/>
    </x:row>
    <x:row r="25" ht="23" customHeight="1">
      <x:c r="A25" s="1"/>
      <x:c r="B25" s="1"/>
      <x:c r="C25" s="1" t="str">
        <x:v>决定条件</x:v>
      </x:c>
      <x:c r="D25" s="1" t="str">
        <x:v>476万为挑战任务，380万漏斗值仍含主观概率；不称统计预测。</x:v>
      </x:c>
      <x:c r="E25" s="1"/>
    </x:row>
    <x:row r="26" ht="23" customHeight="1">
      <x:c r="A26" s="1"/>
      <x:c r="B26" s="1"/>
      <x:c r="C26" s="1" t="str">
        <x:v>排期数量边界</x:v>
      </x:c>
      <x:c r="D26" s="2" t="str">
        <x:f>IF(OR('假设'!D7&gt;12,'假设'!D12&gt;6,'假设'!D17&gt;2),"超出模板，当前结果不可采用","处于模板范围，仍需查看核验页")</x:f>
        <x:v>处于模板范围，仍需查看核验页</x:v>
      </x:c>
      <x:c r="E26" s="1"/>
    </x:row>
  </x:sheetData>
  <x:pageMargins left="0.7" right="0.7" top="0.75" bottom="0.75" header="0.3" footer="0.3"/>
  <x:drawing xmlns:r="http://schemas.openxmlformats.org/officeDocument/2006/relationships" r:id="R86dadd5877c94e2b"/>
</x:worksheet>
</file>

<file path=xl/worksheets/sheet2.xml><?xml version="1.0" encoding="utf-8"?>
<x:worksheet xmlns:x="http://schemas.openxmlformats.org/spreadsheetml/2006/main">
  <x:sheetPr>
    <x:tabColor rgb="FF63859D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31" hidden="0" customWidth="1"/>
    <x:col min="4" max="4" width="22" hidden="0" customWidth="1"/>
    <x:col min="5" max="5" width="90" hidden="0" customWidth="1"/>
  </x:cols>
  <x:sheetData>
    <x:row r="1" ht="23" customHeight="1">
      <x:c r="A1" s="1"/>
      <x:c r="B1" s="1"/>
      <x:c r="C1" s="1"/>
      <x:c r="D1" s="1"/>
      <x:c r="E1" s="1"/>
    </x:row>
    <x:row r="2" ht="23" customHeight="1">
      <x:c r="A2" s="1"/>
      <x:c r="B2" s="1"/>
      <x:c r="C2" s="3" t="str">
        <x:v>布比中东 假设（金额：万美元）</x:v>
      </x:c>
      <x:c r="D2" s="3"/>
      <x:c r="E2" s="3"/>
    </x:row>
    <x:row r="3" ht="23" customHeight="1">
      <x:c r="A3" s="1"/>
      <x:c r="B3" s="1"/>
      <x:c r="C3" s="1" t="str">
        <x:v>情景</x:v>
      </x:c>
      <x:c r="D3" s="8" t="str">
        <x:f>CHOOSE('假设'!D4,"谨慎进入","资源到位目标","突破目标")</x:f>
        <x:v>资源到位目标</x:v>
      </x:c>
      <x:c r="E3" s="1"/>
    </x:row>
    <x:row r="4" ht="23" customHeight="1">
      <x:c r="A4" s="1"/>
      <x:c r="B4" s="1"/>
      <x:c r="C4" s="1" t="str">
        <x:v>情景选择 1/2/3</x:v>
      </x:c>
      <x:c r="D4" s="11" t="n">
        <x:v>2</x:v>
      </x:c>
      <x:c r="E4" s="1" t="str">
        <x:v>数量上限：验证12、企业6、产业2；超出须新增排期槽位</x:v>
      </x:c>
    </x:row>
    <x:row r="5" ht="32" customHeight="1">
      <x:c r="A5" s="1"/>
      <x:c r="B5" s="1"/>
      <x:c r="C5" s="6"/>
      <x:c r="D5" s="6"/>
      <x:c r="E5" s="6"/>
    </x:row>
    <x:row r="6" ht="23" customHeight="1">
      <x:c r="A6" s="1"/>
      <x:c r="B6" s="1"/>
      <x:c r="C6" s="1"/>
      <x:c r="D6" s="1"/>
      <x:c r="E6" s="1"/>
    </x:row>
    <x:row r="7" ht="23" customHeight="1">
      <x:c r="A7" s="1"/>
      <x:c r="B7" s="1"/>
      <x:c r="C7" s="12" t="str">
        <x:v>验证项目数</x:v>
      </x:c>
      <x:c r="D7" s="13" t="n">
        <x:f>CHOOSE($D$4,D8,D9,D10)</x:f>
        <x:v>8</x:v>
      </x:c>
      <x:c r="E7" s="12" t="str">
        <x:v>H：收费、独立工作范围，不冲抵生产费</x:v>
      </x:c>
    </x:row>
    <x:row r="8" ht="23" customHeight="1">
      <x:c r="A8" s="1"/>
      <x:c r="B8" s="1"/>
      <x:c r="C8" s="1" t="str">
        <x:v>谨慎进入</x:v>
      </x:c>
      <x:c r="D8" s="14" t="n">
        <x:v>4</x:v>
      </x:c>
      <x:c r="E8" s="1"/>
    </x:row>
    <x:row r="9" ht="23" customHeight="1">
      <x:c r="A9" s="1"/>
      <x:c r="B9" s="1"/>
      <x:c r="C9" s="1" t="str">
        <x:v>资源到位目标</x:v>
      </x:c>
      <x:c r="D9" s="14" t="n">
        <x:v>8</x:v>
      </x:c>
      <x:c r="E9" s="1"/>
    </x:row>
    <x:row r="10" ht="23" customHeight="1">
      <x:c r="A10" s="1"/>
      <x:c r="B10" s="1"/>
      <x:c r="C10" s="1" t="str">
        <x:v>突破目标</x:v>
      </x:c>
      <x:c r="D10" s="14" t="n">
        <x:v>12</x:v>
      </x:c>
      <x:c r="E10" s="1"/>
    </x:row>
    <x:row r="11" ht="23" customHeight="1">
      <x:c r="A11" s="1"/>
      <x:c r="B11" s="1"/>
      <x:c r="C11" s="1"/>
      <x:c r="D11" s="1"/>
      <x:c r="E11" s="1"/>
    </x:row>
    <x:row r="12" ht="23" customHeight="1">
      <x:c r="A12" s="1"/>
      <x:c r="B12" s="1"/>
      <x:c r="C12" s="12" t="str">
        <x:v>生产项目数</x:v>
      </x:c>
      <x:c r="D12" s="13" t="n">
        <x:f>CHOOSE($D$4,D13,D14,D15)</x:f>
        <x:v>4</x:v>
      </x:c>
      <x:c r="E12" s="12" t="str">
        <x:v>H：由验证客户转换，不重复计独立客户</x:v>
      </x:c>
    </x:row>
    <x:row r="13" ht="23" customHeight="1">
      <x:c r="A13" s="1"/>
      <x:c r="B13" s="1"/>
      <x:c r="C13" s="1" t="str">
        <x:v>谨慎进入</x:v>
      </x:c>
      <x:c r="D13" s="14" t="n">
        <x:v>2</x:v>
      </x:c>
      <x:c r="E13" s="1"/>
    </x:row>
    <x:row r="14" ht="23" customHeight="1">
      <x:c r="A14" s="1"/>
      <x:c r="B14" s="1"/>
      <x:c r="C14" s="1" t="str">
        <x:v>资源到位目标</x:v>
      </x:c>
      <x:c r="D14" s="14" t="n">
        <x:v>4</x:v>
      </x:c>
      <x:c r="E14" s="1"/>
    </x:row>
    <x:row r="15" ht="23" customHeight="1">
      <x:c r="A15" s="1"/>
      <x:c r="B15" s="1"/>
      <x:c r="C15" s="1" t="str">
        <x:v>突破目标</x:v>
      </x:c>
      <x:c r="D15" s="14" t="n">
        <x:v>6</x:v>
      </x:c>
      <x:c r="E15" s="1"/>
    </x:row>
    <x:row r="16" ht="23" customHeight="1">
      <x:c r="A16" s="1"/>
      <x:c r="B16" s="1"/>
      <x:c r="C16" s="1"/>
      <x:c r="D16" s="1"/>
      <x:c r="E16" s="1"/>
    </x:row>
    <x:row r="17" ht="23" customHeight="1">
      <x:c r="A17" s="1"/>
      <x:c r="B17" s="1"/>
      <x:c r="C17" s="12" t="str">
        <x:v>产业平台数</x:v>
      </x:c>
      <x:c r="D17" s="13" t="n">
        <x:f>CHOOSE($D$4,D18,D19,D20)</x:f>
        <x:v>1</x:v>
      </x:c>
      <x:c r="E17" s="12" t="str">
        <x:v>H：独立运营方合同，非国家级公链授权</x:v>
      </x:c>
    </x:row>
    <x:row r="18" ht="23" customHeight="1">
      <x:c r="A18" s="1"/>
      <x:c r="B18" s="1"/>
      <x:c r="C18" s="1" t="str">
        <x:v>谨慎进入</x:v>
      </x:c>
      <x:c r="D18" s="14" t="n">
        <x:v>0</x:v>
      </x:c>
      <x:c r="E18" s="1"/>
    </x:row>
    <x:row r="19" ht="23" customHeight="1">
      <x:c r="A19" s="1"/>
      <x:c r="B19" s="1"/>
      <x:c r="C19" s="1" t="str">
        <x:v>资源到位目标</x:v>
      </x:c>
      <x:c r="D19" s="14" t="n">
        <x:v>1</x:v>
      </x:c>
      <x:c r="E19" s="1"/>
    </x:row>
    <x:row r="20" ht="23" customHeight="1">
      <x:c r="A20" s="1"/>
      <x:c r="B20" s="1"/>
      <x:c r="C20" s="1" t="str">
        <x:v>突破目标</x:v>
      </x:c>
      <x:c r="D20" s="14" t="n">
        <x:v>2</x:v>
      </x:c>
      <x:c r="E20" s="1"/>
    </x:row>
    <x:row r="21" ht="23" customHeight="1">
      <x:c r="A21" s="1"/>
      <x:c r="B21" s="1"/>
      <x:c r="C21" s="1"/>
      <x:c r="D21" s="1"/>
      <x:c r="E21" s="1"/>
    </x:row>
    <x:row r="22" ht="23" customHeight="1">
      <x:c r="A22" s="1"/>
      <x:c r="B22" s="1"/>
      <x:c r="C22" s="12" t="str">
        <x:v>签约延迟月数</x:v>
      </x:c>
      <x:c r="D22" s="13" t="n">
        <x:f>CHOOSE($D$4,D23,D24,D25)</x:f>
        <x:v>0</x:v>
      </x:c>
      <x:c r="E22" s="12" t="str">
        <x:v>H：相对计划月的统一滑移</x:v>
      </x:c>
    </x:row>
    <x:row r="23" ht="23" customHeight="1">
      <x:c r="A23" s="1"/>
      <x:c r="B23" s="1"/>
      <x:c r="C23" s="1" t="str">
        <x:v>谨慎进入</x:v>
      </x:c>
      <x:c r="D23" s="14" t="n">
        <x:v>2</x:v>
      </x:c>
      <x:c r="E23" s="1"/>
    </x:row>
    <x:row r="24" ht="23" customHeight="1">
      <x:c r="A24" s="1"/>
      <x:c r="B24" s="1"/>
      <x:c r="C24" s="1" t="str">
        <x:v>资源到位目标</x:v>
      </x:c>
      <x:c r="D24" s="14" t="n">
        <x:v>0</x:v>
      </x:c>
      <x:c r="E24" s="1"/>
    </x:row>
    <x:row r="25" ht="23" customHeight="1">
      <x:c r="A25" s="1"/>
      <x:c r="B25" s="1"/>
      <x:c r="C25" s="1" t="str">
        <x:v>突破目标</x:v>
      </x:c>
      <x:c r="D25" s="14" t="n">
        <x:v>0</x:v>
      </x:c>
      <x:c r="E25" s="1"/>
    </x:row>
    <x:row r="26" ht="23" customHeight="1">
      <x:c r="A26" s="1"/>
      <x:c r="B26" s="1"/>
      <x:c r="C26" s="1"/>
      <x:c r="D26" s="1"/>
      <x:c r="E26" s="1"/>
    </x:row>
    <x:row r="27" ht="23" customHeight="1">
      <x:c r="A27" s="1"/>
      <x:c r="B27" s="1"/>
      <x:c r="C27" s="12" t="str">
        <x:v>回款间隔月数</x:v>
      </x:c>
      <x:c r="D27" s="13" t="n">
        <x:f>CHOOSE($D$4,D28,D29,D30)</x:f>
        <x:v>1</x:v>
      </x:c>
      <x:c r="E27" s="12" t="str">
        <x:v>H：开票至实际到账，分别30/60天近似</x:v>
      </x:c>
    </x:row>
    <x:row r="28" ht="23" customHeight="1">
      <x:c r="A28" s="1"/>
      <x:c r="B28" s="1"/>
      <x:c r="C28" s="1" t="str">
        <x:v>谨慎进入</x:v>
      </x:c>
      <x:c r="D28" s="14" t="n">
        <x:v>2</x:v>
      </x:c>
      <x:c r="E28" s="1"/>
    </x:row>
    <x:row r="29" ht="23" customHeight="1">
      <x:c r="A29" s="1"/>
      <x:c r="B29" s="1"/>
      <x:c r="C29" s="1" t="str">
        <x:v>资源到位目标</x:v>
      </x:c>
      <x:c r="D29" s="14" t="n">
        <x:v>1</x:v>
      </x:c>
      <x:c r="E29" s="1"/>
    </x:row>
    <x:row r="30" ht="23" customHeight="1">
      <x:c r="A30" s="1"/>
      <x:c r="B30" s="1"/>
      <x:c r="C30" s="1" t="str">
        <x:v>突破目标</x:v>
      </x:c>
      <x:c r="D30" s="14" t="n">
        <x:v>1</x:v>
      </x:c>
      <x:c r="E30" s="1"/>
    </x:row>
    <x:row r="31" ht="23" customHeight="1">
      <x:c r="A31" s="1"/>
      <x:c r="B31" s="1"/>
      <x:c r="C31" s="1"/>
      <x:c r="D31" s="1"/>
      <x:c r="E31" s="1"/>
    </x:row>
    <x:row r="32" ht="23" customHeight="1">
      <x:c r="A32" s="1"/>
      <x:c r="B32" s="1"/>
      <x:c r="C32" s="12" t="str">
        <x:v>固定团队预算系数</x:v>
      </x:c>
      <x:c r="D32" s="13" t="n">
        <x:f>CHOOSE($D$4,D33,D34,D35)</x:f>
        <x:v>1</x:v>
      </x:c>
      <x:c r="E32" s="12" t="str">
        <x:v>H：谨慎按0.82，突破按1.28；需岗位调整落地</x:v>
      </x:c>
    </x:row>
    <x:row r="33" ht="23" customHeight="1">
      <x:c r="A33" s="1"/>
      <x:c r="B33" s="1"/>
      <x:c r="C33" s="1" t="str">
        <x:v>谨慎进入</x:v>
      </x:c>
      <x:c r="D33" s="14" t="n">
        <x:v>0.82</x:v>
      </x:c>
      <x:c r="E33" s="1"/>
    </x:row>
    <x:row r="34" ht="23" customHeight="1">
      <x:c r="A34" s="1"/>
      <x:c r="B34" s="1"/>
      <x:c r="C34" s="1" t="str">
        <x:v>资源到位目标</x:v>
      </x:c>
      <x:c r="D34" s="14" t="n">
        <x:v>1</x:v>
      </x:c>
      <x:c r="E34" s="1"/>
    </x:row>
    <x:row r="35" ht="23" customHeight="1">
      <x:c r="A35" s="1"/>
      <x:c r="B35" s="1"/>
      <x:c r="C35" s="1" t="str">
        <x:v>突破目标</x:v>
      </x:c>
      <x:c r="D35" s="14" t="n">
        <x:v>1.28</x:v>
      </x:c>
      <x:c r="E35" s="1"/>
    </x:row>
    <x:row r="36" ht="23" customHeight="1">
      <x:c r="A36" s="1"/>
      <x:c r="B36" s="1"/>
      <x:c r="C36" s="1"/>
      <x:c r="D36" s="1"/>
      <x:c r="E36" s="1"/>
    </x:row>
    <x:row r="37" ht="23" customHeight="1">
      <x:c r="A37" s="1"/>
      <x:c r="B37" s="1"/>
      <x:c r="C37" s="12" t="str">
        <x:v>工程人月成本</x:v>
      </x:c>
      <x:c r="D37" s="13" t="n">
        <x:f>CHOOSE($D$4,D38,D39,D40)</x:f>
        <x:v>0.8</x:v>
      </x:c>
      <x:c r="E37" s="12" t="str">
        <x:v>H：每有效交付人月8000美元，含非交付分摊；若报价为名义在岗月须除以利用率</x:v>
      </x:c>
    </x:row>
    <x:row r="38" ht="23" customHeight="1">
      <x:c r="A38" s="1"/>
      <x:c r="B38" s="1"/>
      <x:c r="C38" s="1" t="str">
        <x:v>谨慎进入</x:v>
      </x:c>
      <x:c r="D38" s="14" t="n">
        <x:v>0.8</x:v>
      </x:c>
      <x:c r="E38" s="1"/>
    </x:row>
    <x:row r="39" ht="23" customHeight="1">
      <x:c r="A39" s="1"/>
      <x:c r="B39" s="1"/>
      <x:c r="C39" s="1" t="str">
        <x:v>资源到位目标</x:v>
      </x:c>
      <x:c r="D39" s="14" t="n">
        <x:v>0.8</x:v>
      </x:c>
      <x:c r="E39" s="1"/>
    </x:row>
    <x:row r="40" ht="23" customHeight="1">
      <x:c r="A40" s="1"/>
      <x:c r="B40" s="1"/>
      <x:c r="C40" s="1" t="str">
        <x:v>突破目标</x:v>
      </x:c>
      <x:c r="D40" s="14" t="n">
        <x:v>0.8</x:v>
      </x:c>
      <x:c r="E40" s="1"/>
    </x:row>
    <x:row r="41" ht="23" customHeight="1">
      <x:c r="A41" s="1"/>
      <x:c r="B41" s="1"/>
      <x:c r="C41" s="1"/>
      <x:c r="D41" s="1"/>
      <x:c r="E41" s="1"/>
    </x:row>
    <x:row r="42" ht="23" customHeight="1">
      <x:c r="A42" s="1"/>
      <x:c r="B42" s="1"/>
      <x:c r="C42" s="12" t="str">
        <x:v>交付利用率</x:v>
      </x:c>
      <x:c r="D42" s="13" t="n">
        <x:f>CHOOSE($D$4,D43,D44,D45)</x:f>
        <x:v>0.75</x:v>
      </x:c>
      <x:c r="E42" s="12" t="str">
        <x:v>H：有效交付人月÷名义可用人月</x:v>
      </x:c>
    </x:row>
    <x:row r="43" ht="23" customHeight="1">
      <x:c r="A43" s="1"/>
      <x:c r="B43" s="1"/>
      <x:c r="C43" s="1" t="str">
        <x:v>谨慎进入</x:v>
      </x:c>
      <x:c r="D43" s="14" t="n">
        <x:v>0.75</x:v>
      </x:c>
      <x:c r="E43" s="1"/>
    </x:row>
    <x:row r="44" ht="23" customHeight="1">
      <x:c r="A44" s="1"/>
      <x:c r="B44" s="1"/>
      <x:c r="C44" s="1" t="str">
        <x:v>资源到位目标</x:v>
      </x:c>
      <x:c r="D44" s="14" t="n">
        <x:v>0.75</x:v>
      </x:c>
      <x:c r="E44" s="1"/>
    </x:row>
    <x:row r="45" ht="23" customHeight="1">
      <x:c r="A45" s="1"/>
      <x:c r="B45" s="1"/>
      <x:c r="C45" s="1" t="str">
        <x:v>突破目标</x:v>
      </x:c>
      <x:c r="D45" s="14" t="n">
        <x:v>0.75</x:v>
      </x:c>
      <x:c r="E45" s="1"/>
    </x:row>
    <x:row r="46" ht="23" customHeight="1">
      <x:c r="A46" s="1"/>
      <x:c r="B46" s="1"/>
      <x:c r="C46" s="1"/>
      <x:c r="D46" s="1"/>
      <x:c r="E46" s="1"/>
    </x:row>
    <x:row r="47" ht="23" customHeight="1">
      <x:c r="A47" s="1"/>
      <x:c r="B47" s="1"/>
      <x:c r="C47" s="12" t="str">
        <x:v>销售佣金率</x:v>
      </x:c>
      <x:c r="D47" s="13" t="n">
        <x:f>CHOOSE($D$4,D48,D49,D50)</x:f>
        <x:v>0.05</x:v>
      </x:c>
      <x:c r="E47" s="12" t="str">
        <x:v>H：按合同净额计提，按实收支付，不重复加渠道毛利</x:v>
      </x:c>
    </x:row>
    <x:row r="48" ht="23" customHeight="1">
      <x:c r="A48" s="1"/>
      <x:c r="B48" s="1"/>
      <x:c r="C48" s="1" t="str">
        <x:v>谨慎进入</x:v>
      </x:c>
      <x:c r="D48" s="14" t="n">
        <x:v>0.05</x:v>
      </x:c>
      <x:c r="E48" s="1"/>
    </x:row>
    <x:row r="49" ht="23" customHeight="1">
      <x:c r="A49" s="1"/>
      <x:c r="B49" s="1"/>
      <x:c r="C49" s="1" t="str">
        <x:v>资源到位目标</x:v>
      </x:c>
      <x:c r="D49" s="14" t="n">
        <x:v>0.05</x:v>
      </x:c>
      <x:c r="E49" s="1"/>
    </x:row>
    <x:row r="50" ht="23" customHeight="1">
      <x:c r="A50" s="1"/>
      <x:c r="B50" s="1"/>
      <x:c r="C50" s="1" t="str">
        <x:v>突破目标</x:v>
      </x:c>
      <x:c r="D50" s="14" t="n">
        <x:v>0.05</x:v>
      </x:c>
      <x:c r="E50" s="1"/>
    </x:row>
    <x:row r="51" ht="23" customHeight="1">
      <x:c r="A51" s="1"/>
      <x:c r="B51" s="1"/>
      <x:c r="C51" s="1"/>
      <x:c r="D51" s="1"/>
      <x:c r="E51" s="1"/>
    </x:row>
    <x:row r="52" ht="23" customHeight="1">
      <x:c r="A52" s="1"/>
      <x:c r="B52" s="1"/>
      <x:c r="C52" s="12" t="str">
        <x:v>报价调整系数</x:v>
      </x:c>
      <x:c r="D52" s="13" t="n">
        <x:f>CHOOSE($D$4,D53,D54,D55)</x:f>
        <x:v>1</x:v>
      </x:c>
      <x:c r="E52" s="12" t="str">
        <x:v>H：可调0.85测试降价15%</x:v>
      </x:c>
    </x:row>
    <x:row r="53" ht="23" customHeight="1">
      <x:c r="A53" s="1"/>
      <x:c r="B53" s="1"/>
      <x:c r="C53" s="1" t="str">
        <x:v>谨慎进入</x:v>
      </x:c>
      <x:c r="D53" s="14" t="n">
        <x:v>1</x:v>
      </x:c>
      <x:c r="E53" s="1"/>
    </x:row>
    <x:row r="54" ht="23" customHeight="1">
      <x:c r="A54" s="1"/>
      <x:c r="B54" s="1"/>
      <x:c r="C54" s="1" t="str">
        <x:v>资源到位目标</x:v>
      </x:c>
      <x:c r="D54" s="14" t="n">
        <x:v>1</x:v>
      </x:c>
      <x:c r="E54" s="1"/>
    </x:row>
    <x:row r="55" ht="23" customHeight="1">
      <x:c r="A55" s="1"/>
      <x:c r="B55" s="1"/>
      <x:c r="C55" s="1" t="str">
        <x:v>突破目标</x:v>
      </x:c>
      <x:c r="D55" s="14" t="n">
        <x:v>1</x:v>
      </x:c>
      <x:c r="E55" s="1"/>
    </x:row>
    <x:row r="56" ht="23" customHeight="1">
      <x:c r="A56" s="1"/>
      <x:c r="B56" s="1"/>
      <x:c r="C56" s="1"/>
      <x:c r="D56" s="1"/>
      <x:c r="E56" s="1"/>
    </x:row>
    <x:row r="57" ht="23" customHeight="1">
      <x:c r="A57" s="1"/>
      <x:c r="B57" s="1"/>
      <x:c r="C57" s="12" t="str">
        <x:v>成本调整系数</x:v>
      </x:c>
      <x:c r="D57" s="13" t="n">
        <x:f>CHOOSE($D$4,D58,D59,D60)</x:f>
        <x:v>1</x:v>
      </x:c>
      <x:c r="E57" s="12" t="str">
        <x:v>H：可调1.20测试直接成本上涨20%</x:v>
      </x:c>
    </x:row>
    <x:row r="58" ht="23" customHeight="1">
      <x:c r="A58" s="1"/>
      <x:c r="B58" s="1"/>
      <x:c r="C58" s="1" t="str">
        <x:v>谨慎进入</x:v>
      </x:c>
      <x:c r="D58" s="14" t="n">
        <x:v>1</x:v>
      </x:c>
      <x:c r="E58" s="1"/>
    </x:row>
    <x:row r="59" ht="23" customHeight="1">
      <x:c r="A59" s="1"/>
      <x:c r="B59" s="1"/>
      <x:c r="C59" s="1" t="str">
        <x:v>资源到位目标</x:v>
      </x:c>
      <x:c r="D59" s="14" t="n">
        <x:v>1</x:v>
      </x:c>
      <x:c r="E59" s="1"/>
    </x:row>
    <x:row r="60" ht="23" customHeight="1">
      <x:c r="A60" s="1"/>
      <x:c r="B60" s="1"/>
      <x:c r="C60" s="1" t="str">
        <x:v>突破目标</x:v>
      </x:c>
      <x:c r="D60" s="14" t="n">
        <x:v>1</x:v>
      </x:c>
      <x:c r="E60" s="1"/>
    </x:row>
    <x:row r="61" ht="23" customHeight="1">
      <x:c r="A61" s="1"/>
      <x:c r="B61" s="1"/>
      <x:c r="C61" s="1"/>
      <x:c r="D61" s="1"/>
      <x:c r="E61" s="1"/>
    </x:row>
    <x:row r="62" ht="23" customHeight="1">
      <x:c r="A62" s="1"/>
      <x:c r="B62" s="1"/>
      <x:c r="C62" s="12" t="str">
        <x:v>人民币预算汇率</x:v>
      </x:c>
      <x:c r="D62" s="13" t="n">
        <x:f>CHOOSE($D$4,D63,D64,D65)</x:f>
        <x:v>7.2</x:v>
      </x:c>
      <x:c r="E62" s="12" t="str">
        <x:v>H：非即期报价；建议6.8–7.6压力区间</x:v>
      </x:c>
    </x:row>
    <x:row r="63" ht="23" customHeight="1">
      <x:c r="A63" s="1"/>
      <x:c r="B63" s="1"/>
      <x:c r="C63" s="1" t="str">
        <x:v>谨慎进入</x:v>
      </x:c>
      <x:c r="D63" s="14" t="n">
        <x:v>7.2</x:v>
      </x:c>
      <x:c r="E63" s="1"/>
    </x:row>
    <x:row r="64" ht="23" customHeight="1">
      <x:c r="A64" s="1"/>
      <x:c r="B64" s="1"/>
      <x:c r="C64" s="1" t="str">
        <x:v>资源到位目标</x:v>
      </x:c>
      <x:c r="D64" s="14" t="n">
        <x:v>7.2</x:v>
      </x:c>
      <x:c r="E64" s="1"/>
    </x:row>
    <x:row r="65" ht="23" customHeight="1">
      <x:c r="A65" s="1"/>
      <x:c r="B65" s="1"/>
      <x:c r="C65" s="1" t="str">
        <x:v>突破目标</x:v>
      </x:c>
      <x:c r="D65" s="14" t="n">
        <x:v>7.2</x:v>
      </x:c>
      <x:c r="E65" s="1"/>
    </x:row>
    <x:row r="66" ht="23" customHeight="1">
      <x:c r="A66" s="1"/>
      <x:c r="B66" s="1"/>
      <x:c r="C66" s="1"/>
      <x:c r="D66" s="1"/>
      <x:c r="E66" s="1"/>
    </x:row>
    <x:row r="67" ht="23" customHeight="1">
      <x:c r="A67" s="1"/>
      <x:c r="B67" s="1"/>
      <x:c r="C67" s="12" t="str">
        <x:v>AED兑USD</x:v>
      </x:c>
      <x:c r="D67" s="13" t="n">
        <x:f>CHOOSE($D$4,D68,D69,D70)</x:f>
        <x:v>3.6725</x:v>
      </x:c>
      <x:c r="E67" s="12" t="str">
        <x:v>R07：AED/USD</x:v>
      </x:c>
    </x:row>
    <x:row r="68" ht="23" customHeight="1">
      <x:c r="A68" s="1"/>
      <x:c r="B68" s="1"/>
      <x:c r="C68" s="1" t="str">
        <x:v>谨慎进入</x:v>
      </x:c>
      <x:c r="D68" s="14" t="n">
        <x:v>3.6725</x:v>
      </x:c>
      <x:c r="E68" s="1"/>
    </x:row>
    <x:row r="69" ht="23" customHeight="1">
      <x:c r="A69" s="1"/>
      <x:c r="B69" s="1"/>
      <x:c r="C69" s="1" t="str">
        <x:v>资源到位目标</x:v>
      </x:c>
      <x:c r="D69" s="14" t="n">
        <x:v>3.6725</x:v>
      </x:c>
      <x:c r="E69" s="1"/>
    </x:row>
    <x:row r="70" ht="23" customHeight="1">
      <x:c r="A70" s="1"/>
      <x:c r="B70" s="1"/>
      <x:c r="C70" s="1" t="str">
        <x:v>突破目标</x:v>
      </x:c>
      <x:c r="D70" s="14" t="n">
        <x:v>3.6725</x:v>
      </x:c>
      <x:c r="E70" s="1"/>
    </x:row>
    <x:row r="71" ht="23" customHeight="1">
      <x:c r="A71" s="1"/>
      <x:c r="B71" s="1"/>
      <x:c r="C71" s="1"/>
      <x:c r="D71" s="1"/>
      <x:c r="E71" s="1"/>
    </x:row>
    <x:row r="72" ht="23" customHeight="1">
      <x:c r="A72" s="1"/>
      <x:c r="B72" s="1"/>
      <x:c r="C72" s="12" t="str">
        <x:v>SAR兑USD</x:v>
      </x:c>
      <x:c r="D72" s="13" t="n">
        <x:f>CHOOSE($D$4,D73,D74,D75)</x:f>
        <x:v>3.75</x:v>
      </x:c>
      <x:c r="E72" s="12" t="str">
        <x:v>R08：SAR/USD</x:v>
      </x:c>
    </x:row>
    <x:row r="73" ht="23" customHeight="1">
      <x:c r="A73" s="1"/>
      <x:c r="B73" s="1"/>
      <x:c r="C73" s="1" t="str">
        <x:v>谨慎进入</x:v>
      </x:c>
      <x:c r="D73" s="14" t="n">
        <x:v>3.75</x:v>
      </x:c>
      <x:c r="E73" s="1"/>
    </x:row>
    <x:row r="74" ht="23" customHeight="1">
      <x:c r="A74" s="1"/>
      <x:c r="B74" s="1"/>
      <x:c r="C74" s="1" t="str">
        <x:v>资源到位目标</x:v>
      </x:c>
      <x:c r="D74" s="14" t="n">
        <x:v>3.75</x:v>
      </x:c>
      <x:c r="E74" s="1"/>
    </x:row>
    <x:row r="75" ht="23" customHeight="1">
      <x:c r="A75" s="1"/>
      <x:c r="B75" s="1"/>
      <x:c r="C75" s="1" t="str">
        <x:v>突破目标</x:v>
      </x:c>
      <x:c r="D75" s="14" t="n">
        <x:v>3.75</x:v>
      </x:c>
      <x:c r="E75" s="1"/>
    </x:row>
    <x:row r="76" ht="23" customHeight="1">
      <x:c r="A76" s="1"/>
      <x:c r="B76" s="1"/>
      <x:c r="C76" s="1"/>
      <x:c r="D76" s="1"/>
      <x:c r="E76" s="1"/>
    </x:row>
    <x:row r="77" ht="23" customHeight="1">
      <x:c r="A77" s="1"/>
      <x:c r="B77" s="1"/>
      <x:c r="C77" s="12" t="str">
        <x:v>2026薪酬调整</x:v>
      </x:c>
      <x:c r="D77" s="13" t="n">
        <x:f>CHOOSE($D$4,D78,D79,D80)</x:f>
        <x:v>1.05</x:v>
      </x:c>
      <x:c r="E77" s="12" t="str">
        <x:v>H：相对Hays 2025版Q4 2024数据上浮5%，非最新市场实测</x:v>
      </x:c>
    </x:row>
    <x:row r="78" ht="23" customHeight="1">
      <x:c r="A78" s="1"/>
      <x:c r="B78" s="1"/>
      <x:c r="C78" s="1" t="str">
        <x:v>谨慎进入</x:v>
      </x:c>
      <x:c r="D78" s="14" t="n">
        <x:v>1.05</x:v>
      </x:c>
      <x:c r="E78" s="1"/>
    </x:row>
    <x:row r="79" ht="23" customHeight="1">
      <x:c r="A79" s="1"/>
      <x:c r="B79" s="1"/>
      <x:c r="C79" s="1" t="str">
        <x:v>资源到位目标</x:v>
      </x:c>
      <x:c r="D79" s="14" t="n">
        <x:v>1.05</x:v>
      </x:c>
      <x:c r="E79" s="1"/>
    </x:row>
    <x:row r="80" ht="23" customHeight="1">
      <x:c r="A80" s="1"/>
      <x:c r="B80" s="1"/>
      <x:c r="C80" s="1" t="str">
        <x:v>突破目标</x:v>
      </x:c>
      <x:c r="D80" s="14" t="n">
        <x:v>1.05</x:v>
      </x:c>
      <x:c r="E80" s="1"/>
    </x:row>
    <x:row r="81" ht="23" customHeight="1">
      <x:c r="A81" s="1"/>
      <x:c r="B81" s="1"/>
      <x:c r="C81" s="1"/>
      <x:c r="D81" s="1"/>
      <x:c r="E81" s="1"/>
    </x:row>
    <x:row r="82" ht="23" customHeight="1">
      <x:c r="A82" s="1"/>
      <x:c r="B82" s="1"/>
      <x:c r="C82" s="12" t="str">
        <x:v>续费保留率</x:v>
      </x:c>
      <x:c r="D82" s="13" t="n">
        <x:f>CHOOSE($D$4,D83,D84,D85)</x:f>
        <x:v>0.9</x:v>
      </x:c>
      <x:c r="E82" s="12" t="str">
        <x:v>H：按年初ARR保留，尚无本地历史</x:v>
      </x:c>
    </x:row>
    <x:row r="83" ht="23" customHeight="1">
      <x:c r="A83" s="1"/>
      <x:c r="B83" s="1"/>
      <x:c r="C83" s="1" t="str">
        <x:v>谨慎进入</x:v>
      </x:c>
      <x:c r="D83" s="14" t="n">
        <x:v>0.85</x:v>
      </x:c>
      <x:c r="E83" s="1"/>
    </x:row>
    <x:row r="84" ht="23" customHeight="1">
      <x:c r="A84" s="1"/>
      <x:c r="B84" s="1"/>
      <x:c r="C84" s="1" t="str">
        <x:v>资源到位目标</x:v>
      </x:c>
      <x:c r="D84" s="14" t="n">
        <x:v>0.9</x:v>
      </x:c>
      <x:c r="E84" s="1"/>
    </x:row>
    <x:row r="85" ht="23" customHeight="1">
      <x:c r="A85" s="1"/>
      <x:c r="B85" s="1"/>
      <x:c r="C85" s="1" t="str">
        <x:v>突破目标</x:v>
      </x:c>
      <x:c r="D85" s="14" t="n">
        <x:v>0.93</x:v>
      </x:c>
      <x:c r="E85" s="1"/>
    </x:row>
    <x:row r="86" ht="23" customHeight="1">
      <x:c r="A86" s="1"/>
      <x:c r="B86" s="1"/>
      <x:c r="C86" s="1"/>
      <x:c r="D86" s="1"/>
      <x:c r="E86" s="1"/>
    </x:row>
    <x:row r="87" ht="23" customHeight="1">
      <x:c r="A87" s="1"/>
      <x:c r="B87" s="1"/>
      <x:c r="C87" s="12" t="str">
        <x:v>年度交付效率改善</x:v>
      </x:c>
      <x:c r="D87" s="13" t="n">
        <x:f>CHOOSE($D$4,D88,D89,D90)</x:f>
        <x:v>0.05</x:v>
      </x:c>
      <x:c r="E87" s="12" t="str">
        <x:v>H：非人员降薪，通过复用降低单位直接成本</x:v>
      </x:c>
    </x:row>
    <x:row r="88" ht="23" customHeight="1">
      <x:c r="A88" s="1"/>
      <x:c r="B88" s="1"/>
      <x:c r="C88" s="1" t="str">
        <x:v>谨慎进入</x:v>
      </x:c>
      <x:c r="D88" s="14" t="n">
        <x:v>0</x:v>
      </x:c>
      <x:c r="E88" s="1"/>
    </x:row>
    <x:row r="89" ht="23" customHeight="1">
      <x:c r="A89" s="1"/>
      <x:c r="B89" s="1"/>
      <x:c r="C89" s="1" t="str">
        <x:v>资源到位目标</x:v>
      </x:c>
      <x:c r="D89" s="14" t="n">
        <x:v>0.05</x:v>
      </x:c>
      <x:c r="E89" s="1"/>
    </x:row>
    <x:row r="90" ht="23" customHeight="1">
      <x:c r="A90" s="1"/>
      <x:c r="B90" s="1"/>
      <x:c r="C90" s="1" t="str">
        <x:v>突破目标</x:v>
      </x:c>
      <x:c r="D90" s="14" t="n">
        <x:v>0.08</x:v>
      </x:c>
      <x:c r="E90" s="1"/>
    </x:row>
    <x:row r="91" ht="23" customHeight="1">
      <x:c r="A91" s="1"/>
      <x:c r="B91" s="1"/>
      <x:c r="C91" s="1"/>
      <x:c r="D91" s="1"/>
      <x:c r="E91" s="1"/>
    </x:row>
    <x:row r="92" ht="23" customHeight="1">
      <x:c r="A92" s="1"/>
      <x:c r="B92" s="1"/>
      <x:c r="C92" s="12" t="str">
        <x:v>Y2新增企业</x:v>
      </x:c>
      <x:c r="D92" s="13" t="n">
        <x:f>CHOOSE($D$4,D93,D94,D95)</x:f>
        <x:v>6</x:v>
      </x:c>
      <x:c r="E92" s="12" t="str">
        <x:v>H：年度新增签约且当年完成，长期规划非在手订单</x:v>
      </x:c>
    </x:row>
    <x:row r="93" ht="23" customHeight="1">
      <x:c r="A93" s="1"/>
      <x:c r="B93" s="1"/>
      <x:c r="C93" s="1" t="str">
        <x:v>谨慎进入</x:v>
      </x:c>
      <x:c r="D93" s="14" t="n">
        <x:v>4</x:v>
      </x:c>
      <x:c r="E93" s="1"/>
    </x:row>
    <x:row r="94" ht="23" customHeight="1">
      <x:c r="A94" s="1"/>
      <x:c r="B94" s="1"/>
      <x:c r="C94" s="1" t="str">
        <x:v>资源到位目标</x:v>
      </x:c>
      <x:c r="D94" s="14" t="n">
        <x:v>6</x:v>
      </x:c>
      <x:c r="E94" s="1"/>
    </x:row>
    <x:row r="95" ht="23" customHeight="1">
      <x:c r="A95" s="1"/>
      <x:c r="B95" s="1"/>
      <x:c r="C95" s="1" t="str">
        <x:v>突破目标</x:v>
      </x:c>
      <x:c r="D95" s="14" t="n">
        <x:v>9</x:v>
      </x:c>
      <x:c r="E95" s="1"/>
    </x:row>
    <x:row r="96" ht="23" customHeight="1">
      <x:c r="A96" s="1"/>
      <x:c r="B96" s="1"/>
      <x:c r="C96" s="1"/>
      <x:c r="D96" s="1"/>
      <x:c r="E96" s="1"/>
    </x:row>
    <x:row r="97" ht="23" customHeight="1">
      <x:c r="A97" s="1"/>
      <x:c r="B97" s="1"/>
      <x:c r="C97" s="12" t="str">
        <x:v>Y2新增产业</x:v>
      </x:c>
      <x:c r="D97" s="13" t="n">
        <x:f>CHOOSE($D$4,D98,D99,D100)</x:f>
        <x:v>1</x:v>
      </x:c>
      <x:c r="E97" s="12" t="str">
        <x:v>H：每个产业客户独立签约主体</x:v>
      </x:c>
    </x:row>
    <x:row r="98" ht="23" customHeight="1">
      <x:c r="A98" s="1"/>
      <x:c r="B98" s="1"/>
      <x:c r="C98" s="1" t="str">
        <x:v>谨慎进入</x:v>
      </x:c>
      <x:c r="D98" s="14" t="n">
        <x:v>0</x:v>
      </x:c>
      <x:c r="E98" s="1"/>
    </x:row>
    <x:row r="99" ht="23" customHeight="1">
      <x:c r="A99" s="1"/>
      <x:c r="B99" s="1"/>
      <x:c r="C99" s="1" t="str">
        <x:v>资源到位目标</x:v>
      </x:c>
      <x:c r="D99" s="14" t="n">
        <x:v>1</x:v>
      </x:c>
      <x:c r="E99" s="1"/>
    </x:row>
    <x:row r="100" ht="23" customHeight="1">
      <x:c r="A100" s="1"/>
      <x:c r="B100" s="1"/>
      <x:c r="C100" s="1" t="str">
        <x:v>突破目标</x:v>
      </x:c>
      <x:c r="D100" s="14" t="n">
        <x:v>2</x:v>
      </x:c>
      <x:c r="E100" s="1"/>
    </x:row>
    <x:row r="101" ht="23" customHeight="1">
      <x:c r="A101" s="1"/>
      <x:c r="B101" s="1"/>
      <x:c r="C101" s="1"/>
      <x:c r="D101" s="1"/>
      <x:c r="E101" s="1"/>
    </x:row>
    <x:row r="102" ht="23" customHeight="1">
      <x:c r="A102" s="1"/>
      <x:c r="B102" s="1"/>
      <x:c r="C102" s="12" t="str">
        <x:v>Y2固定费用</x:v>
      </x:c>
      <x:c r="D102" s="13" t="n">
        <x:f>CHOOSE($D$4,D103,D104,D105)</x:f>
        <x:v>175</x:v>
      </x:c>
      <x:c r="E102" s="12" t="str">
        <x:v>H：需按实际订单重编组织预算</x:v>
      </x:c>
    </x:row>
    <x:row r="103" ht="23" customHeight="1">
      <x:c r="A103" s="1"/>
      <x:c r="B103" s="1"/>
      <x:c r="C103" s="1" t="str">
        <x:v>谨慎进入</x:v>
      </x:c>
      <x:c r="D103" s="14" t="n">
        <x:v>130</x:v>
      </x:c>
      <x:c r="E103" s="1"/>
    </x:row>
    <x:row r="104" ht="23" customHeight="1">
      <x:c r="A104" s="1"/>
      <x:c r="B104" s="1"/>
      <x:c r="C104" s="1" t="str">
        <x:v>资源到位目标</x:v>
      </x:c>
      <x:c r="D104" s="14" t="n">
        <x:v>175</x:v>
      </x:c>
      <x:c r="E104" s="1"/>
    </x:row>
    <x:row r="105" ht="23" customHeight="1">
      <x:c r="A105" s="1"/>
      <x:c r="B105" s="1"/>
      <x:c r="C105" s="1" t="str">
        <x:v>突破目标</x:v>
      </x:c>
      <x:c r="D105" s="14" t="n">
        <x:v>230</x:v>
      </x:c>
      <x:c r="E105" s="1"/>
    </x:row>
    <x:row r="106" ht="23" customHeight="1">
      <x:c r="A106" s="1"/>
      <x:c r="B106" s="1"/>
      <x:c r="C106" s="1"/>
      <x:c r="D106" s="1"/>
      <x:c r="E106" s="1"/>
    </x:row>
    <x:row r="107" ht="23" customHeight="1">
      <x:c r="A107" s="1"/>
      <x:c r="B107" s="1"/>
      <x:c r="C107" s="12" t="str">
        <x:v>Y3新增企业</x:v>
      </x:c>
      <x:c r="D107" s="13" t="n">
        <x:f>CHOOSE($D$4,D108,D109,D110)</x:f>
        <x:v>9</x:v>
      </x:c>
      <x:c r="E107" s="12" t="str">
        <x:v>H：年度新增签约且当年完成，长期规划非在手订单</x:v>
      </x:c>
    </x:row>
    <x:row r="108" ht="23" customHeight="1">
      <x:c r="A108" s="1"/>
      <x:c r="B108" s="1"/>
      <x:c r="C108" s="1" t="str">
        <x:v>谨慎进入</x:v>
      </x:c>
      <x:c r="D108" s="14" t="n">
        <x:v>6</x:v>
      </x:c>
      <x:c r="E108" s="1"/>
    </x:row>
    <x:row r="109" ht="23" customHeight="1">
      <x:c r="A109" s="1"/>
      <x:c r="B109" s="1"/>
      <x:c r="C109" s="1" t="str">
        <x:v>资源到位目标</x:v>
      </x:c>
      <x:c r="D109" s="14" t="n">
        <x:v>9</x:v>
      </x:c>
      <x:c r="E109" s="1"/>
    </x:row>
    <x:row r="110" ht="23" customHeight="1">
      <x:c r="A110" s="1"/>
      <x:c r="B110" s="1"/>
      <x:c r="C110" s="1" t="str">
        <x:v>突破目标</x:v>
      </x:c>
      <x:c r="D110" s="14" t="n">
        <x:v>13</x:v>
      </x:c>
      <x:c r="E110" s="1"/>
    </x:row>
    <x:row r="111" ht="23" customHeight="1">
      <x:c r="A111" s="1"/>
      <x:c r="B111" s="1"/>
      <x:c r="C111" s="1"/>
      <x:c r="D111" s="1"/>
      <x:c r="E111" s="1"/>
    </x:row>
    <x:row r="112" ht="23" customHeight="1">
      <x:c r="A112" s="1"/>
      <x:c r="B112" s="1"/>
      <x:c r="C112" s="12" t="str">
        <x:v>Y3新增产业</x:v>
      </x:c>
      <x:c r="D112" s="13" t="n">
        <x:f>CHOOSE($D$4,D113,D114,D115)</x:f>
        <x:v>2</x:v>
      </x:c>
      <x:c r="E112" s="12" t="str">
        <x:v>H：每个产业客户独立签约主体</x:v>
      </x:c>
    </x:row>
    <x:row r="113" ht="23" customHeight="1">
      <x:c r="A113" s="1"/>
      <x:c r="B113" s="1"/>
      <x:c r="C113" s="1" t="str">
        <x:v>谨慎进入</x:v>
      </x:c>
      <x:c r="D113" s="14" t="n">
        <x:v>1</x:v>
      </x:c>
      <x:c r="E113" s="1"/>
    </x:row>
    <x:row r="114" ht="23" customHeight="1">
      <x:c r="A114" s="1"/>
      <x:c r="B114" s="1"/>
      <x:c r="C114" s="1" t="str">
        <x:v>资源到位目标</x:v>
      </x:c>
      <x:c r="D114" s="14" t="n">
        <x:v>2</x:v>
      </x:c>
      <x:c r="E114" s="1"/>
    </x:row>
    <x:row r="115" ht="23" customHeight="1">
      <x:c r="A115" s="1"/>
      <x:c r="B115" s="1"/>
      <x:c r="C115" s="1" t="str">
        <x:v>突破目标</x:v>
      </x:c>
      <x:c r="D115" s="14" t="n">
        <x:v>3</x:v>
      </x:c>
      <x:c r="E115" s="1"/>
    </x:row>
    <x:row r="116" ht="23" customHeight="1">
      <x:c r="A116" s="1"/>
      <x:c r="B116" s="1"/>
      <x:c r="C116" s="1"/>
      <x:c r="D116" s="1"/>
      <x:c r="E116" s="1"/>
    </x:row>
    <x:row r="117" ht="23" customHeight="1">
      <x:c r="A117" s="1"/>
      <x:c r="B117" s="1"/>
      <x:c r="C117" s="12" t="str">
        <x:v>Y3固定费用</x:v>
      </x:c>
      <x:c r="D117" s="13" t="n">
        <x:f>CHOOSE($D$4,D118,D119,D120)</x:f>
        <x:v>240</x:v>
      </x:c>
      <x:c r="E117" s="12" t="str">
        <x:v>H：需按实际订单重编组织预算</x:v>
      </x:c>
    </x:row>
    <x:row r="118" ht="23" customHeight="1">
      <x:c r="A118" s="1"/>
      <x:c r="B118" s="1"/>
      <x:c r="C118" s="1" t="str">
        <x:v>谨慎进入</x:v>
      </x:c>
      <x:c r="D118" s="14" t="n">
        <x:v>170</x:v>
      </x:c>
      <x:c r="E118" s="1"/>
    </x:row>
    <x:row r="119" ht="23" customHeight="1">
      <x:c r="A119" s="1"/>
      <x:c r="B119" s="1"/>
      <x:c r="C119" s="1" t="str">
        <x:v>资源到位目标</x:v>
      </x:c>
      <x:c r="D119" s="14" t="n">
        <x:v>240</x:v>
      </x:c>
      <x:c r="E119" s="1"/>
    </x:row>
    <x:row r="120" ht="23" customHeight="1">
      <x:c r="A120" s="1"/>
      <x:c r="B120" s="1"/>
      <x:c r="C120" s="1" t="str">
        <x:v>突破目标</x:v>
      </x:c>
      <x:c r="D120" s="14" t="n">
        <x:v>330</x:v>
      </x:c>
      <x:c r="E120" s="1"/>
    </x:row>
    <x:row r="121" ht="23" customHeight="1">
      <x:c r="A121" s="1"/>
      <x:c r="B121" s="1"/>
      <x:c r="C121" s="1"/>
      <x:c r="D121" s="1"/>
      <x:c r="E121" s="1"/>
    </x:row>
    <x:row r="122" ht="23" customHeight="1">
      <x:c r="A122" s="1"/>
      <x:c r="B122" s="1"/>
      <x:c r="C122" s="12" t="str">
        <x:v>Y4新增企业</x:v>
      </x:c>
      <x:c r="D122" s="13" t="n">
        <x:f>CHOOSE($D$4,D123,D124,D125)</x:f>
        <x:v>12</x:v>
      </x:c>
      <x:c r="E122" s="12" t="str">
        <x:v>H：年度新增签约且当年完成，长期规划非在手订单</x:v>
      </x:c>
    </x:row>
    <x:row r="123" ht="23" customHeight="1">
      <x:c r="A123" s="1"/>
      <x:c r="B123" s="1"/>
      <x:c r="C123" s="1" t="str">
        <x:v>谨慎进入</x:v>
      </x:c>
      <x:c r="D123" s="14" t="n">
        <x:v>8</x:v>
      </x:c>
      <x:c r="E123" s="1"/>
    </x:row>
    <x:row r="124" ht="23" customHeight="1">
      <x:c r="A124" s="1"/>
      <x:c r="B124" s="1"/>
      <x:c r="C124" s="1" t="str">
        <x:v>资源到位目标</x:v>
      </x:c>
      <x:c r="D124" s="14" t="n">
        <x:v>12</x:v>
      </x:c>
      <x:c r="E124" s="1"/>
    </x:row>
    <x:row r="125" ht="23" customHeight="1">
      <x:c r="A125" s="1"/>
      <x:c r="B125" s="1"/>
      <x:c r="C125" s="1" t="str">
        <x:v>突破目标</x:v>
      </x:c>
      <x:c r="D125" s="14" t="n">
        <x:v>18</x:v>
      </x:c>
      <x:c r="E125" s="1"/>
    </x:row>
    <x:row r="126" ht="23" customHeight="1">
      <x:c r="A126" s="1"/>
      <x:c r="B126" s="1"/>
      <x:c r="C126" s="1"/>
      <x:c r="D126" s="1"/>
      <x:c r="E126" s="1"/>
    </x:row>
    <x:row r="127" ht="23" customHeight="1">
      <x:c r="A127" s="1"/>
      <x:c r="B127" s="1"/>
      <x:c r="C127" s="12" t="str">
        <x:v>Y4新增产业</x:v>
      </x:c>
      <x:c r="D127" s="13" t="n">
        <x:f>CHOOSE($D$4,D128,D129,D130)</x:f>
        <x:v>2</x:v>
      </x:c>
      <x:c r="E127" s="12" t="str">
        <x:v>H：每个产业客户独立签约主体</x:v>
      </x:c>
    </x:row>
    <x:row r="128" ht="23" customHeight="1">
      <x:c r="A128" s="1"/>
      <x:c r="B128" s="1"/>
      <x:c r="C128" s="1" t="str">
        <x:v>谨慎进入</x:v>
      </x:c>
      <x:c r="D128" s="14" t="n">
        <x:v>1</x:v>
      </x:c>
      <x:c r="E128" s="1"/>
    </x:row>
    <x:row r="129" ht="23" customHeight="1">
      <x:c r="A129" s="1"/>
      <x:c r="B129" s="1"/>
      <x:c r="C129" s="1" t="str">
        <x:v>资源到位目标</x:v>
      </x:c>
      <x:c r="D129" s="14" t="n">
        <x:v>2</x:v>
      </x:c>
      <x:c r="E129" s="1"/>
    </x:row>
    <x:row r="130" ht="23" customHeight="1">
      <x:c r="A130" s="1"/>
      <x:c r="B130" s="1"/>
      <x:c r="C130" s="1" t="str">
        <x:v>突破目标</x:v>
      </x:c>
      <x:c r="D130" s="14" t="n">
        <x:v>4</x:v>
      </x:c>
      <x:c r="E130" s="1"/>
    </x:row>
    <x:row r="131" ht="23" customHeight="1">
      <x:c r="A131" s="1"/>
      <x:c r="B131" s="1"/>
      <x:c r="C131" s="1"/>
      <x:c r="D131" s="1"/>
      <x:c r="E131" s="1"/>
    </x:row>
    <x:row r="132" ht="23" customHeight="1">
      <x:c r="A132" s="1"/>
      <x:c r="B132" s="1"/>
      <x:c r="C132" s="12" t="str">
        <x:v>Y4固定费用</x:v>
      </x:c>
      <x:c r="D132" s="13" t="n">
        <x:f>CHOOSE($D$4,D133,D134,D135)</x:f>
        <x:v>320</x:v>
      </x:c>
      <x:c r="E132" s="12" t="str">
        <x:v>H：需按实际订单重编组织预算</x:v>
      </x:c>
    </x:row>
    <x:row r="133" ht="23" customHeight="1">
      <x:c r="A133" s="1"/>
      <x:c r="B133" s="1"/>
      <x:c r="C133" s="1" t="str">
        <x:v>谨慎进入</x:v>
      </x:c>
      <x:c r="D133" s="14" t="n">
        <x:v>210</x:v>
      </x:c>
      <x:c r="E133" s="1"/>
    </x:row>
    <x:row r="134" ht="23" customHeight="1">
      <x:c r="A134" s="1"/>
      <x:c r="B134" s="1"/>
      <x:c r="C134" s="1" t="str">
        <x:v>资源到位目标</x:v>
      </x:c>
      <x:c r="D134" s="14" t="n">
        <x:v>320</x:v>
      </x:c>
      <x:c r="E134" s="1"/>
    </x:row>
    <x:row r="135" ht="23" customHeight="1">
      <x:c r="A135" s="1"/>
      <x:c r="B135" s="1"/>
      <x:c r="C135" s="1" t="str">
        <x:v>突破目标</x:v>
      </x:c>
      <x:c r="D135" s="14" t="n">
        <x:v>460</x:v>
      </x:c>
      <x:c r="E135" s="1"/>
    </x:row>
  </x:sheetData>
  <x:dataValidations count="1">
    <x:dataValidation type="list" sqref="D4">
      <x:formula1>"1,2,3"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31" hidden="0" customWidth="1"/>
    <x:col min="4" max="4" width="22" hidden="0" customWidth="1"/>
    <x:col min="5" max="5" width="70" hidden="0" customWidth="1"/>
  </x:cols>
  <x:sheetData>
    <x:row r="1" ht="23" customHeight="1">
      <x:c r="A1" s="1"/>
      <x:c r="B1" s="1"/>
      <x:c r="C1" s="1"/>
      <x:c r="D1" s="1"/>
      <x:c r="E1" s="1"/>
    </x:row>
    <x:row r="2" ht="23" customHeight="1">
      <x:c r="A2" s="1"/>
      <x:c r="B2" s="1"/>
      <x:c r="C2" s="3" t="str">
        <x:v>布比中东 销售漏斗（金额：万美元）</x:v>
      </x:c>
      <x:c r="D2" s="3"/>
      <x:c r="E2" s="3"/>
    </x:row>
    <x:row r="3" ht="23" customHeight="1">
      <x:c r="A3" s="1"/>
      <x:c r="B3" s="1"/>
      <x:c r="C3" s="1" t="str">
        <x:v>情景</x:v>
      </x:c>
      <x:c r="D3" s="8" t="str">
        <x:f>CHOOSE('假设'!D4,"谨慎进入","资源到位目标","突破目标")</x:f>
        <x:v>资源到位目标</x:v>
      </x:c>
      <x:c r="E3" s="1"/>
    </x:row>
    <x:row r="4" ht="23" customHeight="1">
      <x:c r="A4" s="1"/>
      <x:c r="B4" s="1"/>
      <x:c r="C4" s="1"/>
      <x:c r="D4" s="1"/>
      <x:c r="E4" s="1"/>
    </x:row>
    <x:row r="5" ht="32" customHeight="1">
      <x:c r="A5" s="1"/>
      <x:c r="B5" s="1"/>
      <x:c r="C5" s="6" t="str">
        <x:v>企业客户漏斗</x:v>
      </x:c>
      <x:c r="D5" s="6" t="str">
        <x:v>输入/计算</x:v>
      </x:c>
      <x:c r="E5" s="6" t="str">
        <x:v>解释</x:v>
      </x:c>
    </x:row>
    <x:row r="6" ht="23" customHeight="1">
      <x:c r="A6" s="1"/>
      <x:c r="B6" s="1"/>
      <x:c r="C6" s="1" t="str">
        <x:v>主动开发账户</x:v>
      </x:c>
      <x:c r="D6" s="10" t="n">
        <x:v>80</x:v>
      </x:c>
      <x:c r="E6" s="1" t="str">
        <x:v>H：全年命名账户工作量，不是已取得客户</x:v>
      </x:c>
    </x:row>
    <x:row r="7" ht="23" customHeight="1">
      <x:c r="A7" s="1"/>
      <x:c r="B7" s="1"/>
      <x:c r="C7" s="1" t="str">
        <x:v>成为合格需求比例</x:v>
      </x:c>
      <x:c r="D7" s="15" t="n">
        <x:v>0.55</x:v>
      </x:c>
      <x:c r="E7" s="1" t="str">
        <x:v>H：无历史实测</x:v>
      </x:c>
    </x:row>
    <x:row r="8" ht="23" customHeight="1">
      <x:c r="A8" s="1"/>
      <x:c r="B8" s="1"/>
      <x:c r="C8" s="1" t="str">
        <x:v>进入预算方案比例</x:v>
      </x:c>
      <x:c r="D8" s="15" t="n">
        <x:v>0.6</x:v>
      </x:c>
      <x:c r="E8" s="1" t="str">
        <x:v>H：需业务、预算、采购三项证据</x:v>
      </x:c>
    </x:row>
    <x:row r="9" ht="23" customHeight="1">
      <x:c r="A9" s="1"/>
      <x:c r="B9" s="1"/>
      <x:c r="C9" s="1" t="str">
        <x:v>方案赢得验证比例</x:v>
      </x:c>
      <x:c r="D9" s="15" t="n">
        <x:v>0.35</x:v>
      </x:c>
      <x:c r="E9" s="1" t="str">
        <x:v>H：无本地行业成交率证据</x:v>
      </x:c>
    </x:row>
    <x:row r="10" ht="23" customHeight="1">
      <x:c r="A10" s="1"/>
      <x:c r="B10" s="1"/>
      <x:c r="C10" s="1" t="str">
        <x:v>验证当年签约比例</x:v>
      </x:c>
      <x:c r="D10" s="15" t="n">
        <x:v>0.9</x:v>
      </x:c>
      <x:c r="E10" s="1" t="str">
        <x:v>H：客户决策是否落在Y1</x:v>
      </x:c>
    </x:row>
    <x:row r="11" ht="23" customHeight="1">
      <x:c r="A11" s="1"/>
      <x:c r="B11" s="1"/>
      <x:c r="C11" s="1" t="str">
        <x:v>验证期望数</x:v>
      </x:c>
      <x:c r="D11" s="2" t="n">
        <x:f>PRODUCT(D6:D10)</x:f>
        <x:v>8.315999999999999</x:v>
      </x:c>
      <x:c r="E11" s="1" t="str">
        <x:v>模型期望，可为小数，不能当承诺合同数</x:v>
      </x:c>
    </x:row>
    <x:row r="12" ht="23" customHeight="1">
      <x:c r="A12" s="1"/>
      <x:c r="B12" s="1"/>
      <x:c r="C12" s="1" t="str">
        <x:v>验证转生产概率</x:v>
      </x:c>
      <x:c r="D12" s="15" t="n">
        <x:v>0.5</x:v>
      </x:c>
      <x:c r="E12" s="1" t="str">
        <x:v>H：同一客户后续采购</x:v>
      </x:c>
    </x:row>
    <x:row r="13" ht="23" customHeight="1">
      <x:c r="A13" s="1"/>
      <x:c r="B13" s="1"/>
      <x:c r="C13" s="1" t="str">
        <x:v>生产当年采购比例</x:v>
      </x:c>
      <x:c r="D13" s="15" t="n">
        <x:v>0.8</x:v>
      </x:c>
      <x:c r="E13" s="1" t="str">
        <x:v>H：必须在试点验收后完成</x:v>
      </x:c>
    </x:row>
    <x:row r="14" ht="23" customHeight="1">
      <x:c r="A14" s="1"/>
      <x:c r="B14" s="1"/>
      <x:c r="C14" s="1" t="str">
        <x:v>生产期望数</x:v>
      </x:c>
      <x:c r="D14" s="2" t="n">
        <x:f>D11*D12*D13</x:f>
        <x:v>3.3263999999999996</x:v>
      </x:c>
      <x:c r="E14" s="1" t="str">
        <x:v>独立于数量目标的风险调整</x:v>
      </x:c>
    </x:row>
    <x:row r="15" ht="23" customHeight="1">
      <x:c r="A15" s="1"/>
      <x:c r="B15" s="1"/>
      <x:c r="C15" s="1" t="str">
        <x:v>企业路径期望净额</x:v>
      </x:c>
      <x:c r="D15" s="8" t="n">
        <x:f>D11*'项目单价'!O6+D14*'项目单价'!O7</x:f>
        <x:v>289.3968</x:v>
      </x:c>
      <x:c r="E15" s="1" t="str">
        <x:v>验证费独立范围，生产不冲抵</x:v>
      </x:c>
    </x:row>
    <x:row r="16" ht="23" customHeight="1">
      <x:c r="A16" s="1"/>
      <x:c r="B16" s="1"/>
      <x:c r="C16" s="1"/>
      <x:c r="D16" s="1"/>
      <x:c r="E16" s="1"/>
    </x:row>
    <x:row r="17" ht="23" customHeight="1">
      <x:c r="A17" s="1"/>
      <x:c r="B17" s="1"/>
      <x:c r="C17" s="1" t="str">
        <x:v>产业运营目标账户</x:v>
      </x:c>
      <x:c r="D17" s="10" t="n">
        <x:v>12</x:v>
      </x:c>
      <x:c r="E17" s="1" t="str">
        <x:v>H：另建运营方账户清单</x:v>
      </x:c>
    </x:row>
    <x:row r="18" ht="23" customHeight="1">
      <x:c r="A18" s="1"/>
      <x:c r="B18" s="1"/>
      <x:c r="C18" s="1" t="str">
        <x:v>预算及权限符合比例</x:v>
      </x:c>
      <x:c r="D18" s="15" t="n">
        <x:v>0.5</x:v>
      </x:c>
      <x:c r="E18" s="1" t="str">
        <x:v>H：预算归属及地区授权</x:v>
      </x:c>
    </x:row>
    <x:row r="19" ht="23" customHeight="1">
      <x:c r="A19" s="1"/>
      <x:c r="B19" s="1"/>
      <x:c r="C19" s="1" t="str">
        <x:v>进入正式方案比例</x:v>
      </x:c>
      <x:c r="D19" s="15" t="n">
        <x:v>0.5</x:v>
      </x:c>
      <x:c r="E19" s="1" t="str">
        <x:v>H：已确认采购路线</x:v>
      </x:c>
    </x:row>
    <x:row r="20" ht="23" customHeight="1">
      <x:c r="A20" s="1"/>
      <x:c r="B20" s="1"/>
      <x:c r="C20" s="1" t="str">
        <x:v>中标概率</x:v>
      </x:c>
      <x:c r="D20" s="15" t="n">
        <x:v>0.35</x:v>
      </x:c>
      <x:c r="E20" s="1" t="str">
        <x:v>H：不是历史中标率</x:v>
      </x:c>
    </x:row>
    <x:row r="21" ht="23" customHeight="1">
      <x:c r="A21" s="1"/>
      <x:c r="B21" s="1"/>
      <x:c r="C21" s="1" t="str">
        <x:v>年内签约概率</x:v>
      </x:c>
      <x:c r="D21" s="15" t="n">
        <x:v>0.6</x:v>
      </x:c>
      <x:c r="E21" s="1" t="str">
        <x:v>H：国家级审批不在基准</x:v>
      </x:c>
    </x:row>
    <x:row r="22" ht="23" customHeight="1">
      <x:c r="A22" s="1"/>
      <x:c r="B22" s="1"/>
      <x:c r="C22" s="1" t="str">
        <x:v>产业合同期望数</x:v>
      </x:c>
      <x:c r="D22" s="2" t="n">
        <x:f>PRODUCT(D17:D21)</x:f>
        <x:v>0.6299999999999999</x:v>
      </x:c>
      <x:c r="E22" s="1" t="str">
        <x:v>整数目标为1，但概率期望低于1</x:v>
      </x:c>
    </x:row>
    <x:row r="23" ht="23" customHeight="1">
      <x:c r="A23" s="1"/>
      <x:c r="B23" s="1"/>
      <x:c r="C23" s="1" t="str">
        <x:v>产业路径期望净额</x:v>
      </x:c>
      <x:c r="D23" s="8" t="n">
        <x:f>D22*'项目单价'!O8</x:f>
        <x:v>90.71999999999998</x:v>
      </x:c>
      <x:c r="E23" s="1" t="str">
        <x:v>按布比净额，不含伙伴转售总额</x:v>
      </x:c>
    </x:row>
    <x:row r="24" ht="23" customHeight="1">
      <x:c r="A24" s="1"/>
      <x:c r="B24" s="1"/>
      <x:c r="C24" s="1"/>
      <x:c r="D24" s="1"/>
      <x:c r="E24" s="1"/>
    </x:row>
    <x:row r="25" ht="23" customHeight="1">
      <x:c r="A25" s="1"/>
      <x:c r="B25" s="1"/>
      <x:c r="C25" s="1" t="str">
        <x:v>风险调整规划值</x:v>
      </x:c>
      <x:c r="D25" s="2" t="n">
        <x:f>D15+D23</x:f>
        <x:v>380.11679999999996</x:v>
      </x:c>
      <x:c r="E25" s="1" t="str">
        <x:v>只用于比较目标压力；不是来自真实CRM的预测</x:v>
      </x:c>
    </x:row>
    <x:row r="26" ht="23" customHeight="1">
      <x:c r="A26" s="1"/>
      <x:c r="B26" s="1"/>
      <x:c r="C26" s="1" t="str">
        <x:v>数量目标</x:v>
      </x:c>
      <x:c r="D26" s="8" t="n">
        <x:f>'经营总览'!D6</x:f>
        <x:v>476</x:v>
      </x:c>
      <x:c r="E26" s="1" t="str">
        <x:v>数量与交付能力匹配后才批准</x:v>
      </x:c>
    </x:row>
    <x:row r="27" ht="23" customHeight="1">
      <x:c r="A27" s="1"/>
      <x:c r="B27" s="1"/>
      <x:c r="C27" s="1" t="str">
        <x:v>目标超出期望幅度</x:v>
      </x:c>
      <x:c r="D27" s="16" t="n">
        <x:f>D26/D25-1</x:f>
        <x:v>0.2522466778632253</x:v>
      </x:c>
      <x:c r="E27" s="1" t="str">
        <x:v>为正说明目标比风险调整值更有挑战</x:v>
      </x:c>
    </x:row>
    <x:row r="28" ht="23" customHeight="1">
      <x:c r="A28" s="1"/>
      <x:c r="B28" s="1"/>
      <x:c r="C28" s="1"/>
      <x:c r="D28" s="1"/>
      <x:c r="E28" s="1"/>
    </x:row>
    <x:row r="29" ht="23" customHeight="1">
      <x:c r="A29" s="1"/>
      <x:c r="B29" s="1"/>
      <x:c r="C29" s="1" t="str">
        <x:v>支持4个生产需账户量</x:v>
      </x:c>
      <x:c r="D29" s="2" t="n">
        <x:f>4/(D7*D8*D9*D10*D12*D13)</x:f>
        <x:v>96.20009620009618</x:v>
      </x:c>
      <x:c r="E29" s="1" t="str">
        <x:v>概率不变时，80账户不足；向上取整用于工作量</x:v>
      </x:c>
    </x:row>
    <x:row r="30" ht="23" customHeight="1">
      <x:c r="A30" s="1"/>
      <x:c r="B30" s="1"/>
      <x:c r="C30" s="1" t="str">
        <x:v>支持1个产业需账户量</x:v>
      </x:c>
      <x:c r="D30" s="2" t="n">
        <x:f>1/PRODUCT(D18:D21)</x:f>
        <x:v>19.047619047619047</x:v>
      </x:c>
      <x:c r="E30" s="1" t="str">
        <x:v>该值是期望达到1单，不代表保证中1单</x:v>
      </x:c>
    </x:row>
    <x:row r="31" ht="23" customHeight="1">
      <x:c r="A31" s="1"/>
      <x:c r="B31" s="1"/>
      <x:c r="C31" s="1" t="str">
        <x:v>80账户所需生产转化率</x:v>
      </x:c>
      <x:c r="D31" s="16" t="n">
        <x:f>4/(D11*D13)</x:f>
        <x:v>0.6012506012506014</x:v>
      </x:c>
      <x:c r="E31" s="1" t="str">
        <x:v>与当前50%对比；只是目标反推要求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31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</x:row>
    <x:row r="2" ht="23" customHeight="1">
      <x:c r="A2" s="1"/>
      <x:c r="B2" s="1"/>
      <x:c r="C2" s="3" t="str">
        <x:v>布比中东 项目单价（金额：万美元）</x:v>
      </x:c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</x:row>
    <x:row r="3" ht="23" customHeight="1">
      <x:c r="A3" s="1"/>
      <x:c r="B3" s="1"/>
      <x:c r="C3" s="1" t="str">
        <x:v>情景</x:v>
      </x:c>
      <x:c r="D3" s="8" t="str">
        <x:f>CHOOSE('假设'!D4,"谨慎进入","资源到位目标","突破目标")</x:f>
        <x:v>资源到位目标</x:v>
      </x:c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</x:row>
    <x:row r="5" ht="32" customHeight="1">
      <x:c r="A5" s="1"/>
      <x:c r="B5" s="1"/>
      <x:c r="C5" s="6" t="str">
        <x:v>产品</x:v>
      </x:c>
      <x:c r="D5" s="6" t="str">
        <x:v>一次实施费</x:v>
      </x:c>
      <x:c r="E5" s="6" t="str">
        <x:v>年度支持费</x:v>
      </x:c>
      <x:c r="F5" s="6" t="str">
        <x:v>工期月</x:v>
      </x:c>
      <x:c r="G5" s="6" t="str">
        <x:v>工程人月</x:v>
      </x:c>
      <x:c r="H5" s="6" t="str">
        <x:v>本地分包</x:v>
      </x:c>
      <x:c r="I5" s="6" t="str">
        <x:v>云资源</x:v>
      </x:c>
      <x:c r="J5" s="6" t="str">
        <x:v>安全测试</x:v>
      </x:c>
      <x:c r="K5" s="6" t="str">
        <x:v>差旅</x:v>
      </x:c>
      <x:c r="L5" s="6" t="str">
        <x:v>月支持成本</x:v>
      </x:c>
      <x:c r="M5" s="6" t="str">
        <x:v>直接实施成本</x:v>
      </x:c>
      <x:c r="N5" s="6" t="str">
        <x:v>含支持成本</x:v>
      </x:c>
      <x:c r="O5" s="6" t="str">
        <x:v>合同额</x:v>
      </x:c>
      <x:c r="P5" s="6" t="str">
        <x:v>毛利率</x:v>
      </x:c>
      <x:c r="Q5" s="6" t="str">
        <x:v>40%毛利最低总价</x:v>
      </x:c>
      <x:c r="R5" s="6" t="str">
        <x:v>最大折扣仍保40%毛利</x:v>
      </x:c>
    </x:row>
    <x:row r="6" ht="23" customHeight="1">
      <x:c r="A6" s="1"/>
      <x:c r="B6" s="1"/>
      <x:c r="C6" s="1" t="str">
        <x:v>收费验证</x:v>
      </x:c>
      <x:c r="D6" s="10" t="n">
        <x:v>8</x:v>
      </x:c>
      <x:c r="E6" s="10" t="n">
        <x:v>0</x:v>
      </x:c>
      <x:c r="F6" s="10" t="n">
        <x:v>2</x:v>
      </x:c>
      <x:c r="G6" s="10" t="n">
        <x:v>3</x:v>
      </x:c>
      <x:c r="H6" s="10" t="n">
        <x:v>0.5</x:v>
      </x:c>
      <x:c r="I6" s="10" t="n">
        <x:v>0.3</x:v>
      </x:c>
      <x:c r="J6" s="10" t="n">
        <x:v>0.3</x:v>
      </x:c>
      <x:c r="K6" s="10" t="n">
        <x:v>0.2</x:v>
      </x:c>
      <x:c r="L6" s="10" t="n">
        <x:v>0</x:v>
      </x:c>
      <x:c r="M6" s="8" t="n">
        <x:f>(G6*'假设'!D37+SUM(H6:K6))*'假设'!D57</x:f>
        <x:v>3.7</x:v>
      </x:c>
      <x:c r="N6" s="8" t="n">
        <x:f>M6+L6*12*'假设'!D57</x:f>
        <x:v>3.7</x:v>
      </x:c>
      <x:c r="O6" s="8" t="n">
        <x:f>SUM(D6:E6)*'假设'!D52</x:f>
        <x:v>8</x:v>
      </x:c>
      <x:c r="P6" s="18" t="n">
        <x:f>(O6-N6-O6*'假设'!D47)/O6</x:f>
        <x:v>0.4875</x:v>
      </x:c>
      <x:c r="Q6" s="8" t="n">
        <x:f>N6/(1-40%-'假设'!D47)</x:f>
        <x:v>6.727272727272728</x:v>
      </x:c>
      <x:c r="R6" s="16" t="n">
        <x:f>1-Q6/O6</x:f>
        <x:v>0.15909090909090895</x:v>
      </x:c>
    </x:row>
    <x:row r="7" ht="23" customHeight="1">
      <x:c r="A7" s="1"/>
      <x:c r="B7" s="1"/>
      <x:c r="C7" s="1" t="str">
        <x:v>企业生产平台</x:v>
      </x:c>
      <x:c r="D7" s="10" t="n">
        <x:v>55</x:v>
      </x:c>
      <x:c r="E7" s="10" t="n">
        <x:v>12</x:v>
      </x:c>
      <x:c r="F7" s="10" t="n">
        <x:v>4</x:v>
      </x:c>
      <x:c r="G7" s="10" t="n">
        <x:v>18</x:v>
      </x:c>
      <x:c r="H7" s="10" t="n">
        <x:v>5</x:v>
      </x:c>
      <x:c r="I7" s="10" t="n">
        <x:v>2</x:v>
      </x:c>
      <x:c r="J7" s="10" t="n">
        <x:v>2</x:v>
      </x:c>
      <x:c r="K7" s="10" t="n">
        <x:v>2</x:v>
      </x:c>
      <x:c r="L7" s="10" t="n">
        <x:v>0.3</x:v>
      </x:c>
      <x:c r="M7" s="8" t="n">
        <x:f>(G7*'假设'!D37+SUM(H7:K7))*'假设'!D57</x:f>
        <x:v>25.4</x:v>
      </x:c>
      <x:c r="N7" s="8" t="n">
        <x:f>M7+L7*12*'假设'!D57</x:f>
        <x:v>29</x:v>
      </x:c>
      <x:c r="O7" s="8" t="n">
        <x:f>SUM(D7:E7)*'假设'!D52</x:f>
        <x:v>67</x:v>
      </x:c>
      <x:c r="P7" s="18" t="n">
        <x:f>(O7-N7-O7*'假设'!D47)/O7</x:f>
        <x:v>0.5171641791044775</x:v>
      </x:c>
      <x:c r="Q7" s="8" t="n">
        <x:f>N7/(1-40%-'假设'!D47)</x:f>
        <x:v>52.727272727272734</x:v>
      </x:c>
      <x:c r="R7" s="16" t="n">
        <x:f>1-Q7/O7</x:f>
        <x:v>0.2130257801899592</x:v>
      </x:c>
    </x:row>
    <x:row r="8" ht="23" customHeight="1">
      <x:c r="A8" s="1"/>
      <x:c r="B8" s="1"/>
      <x:c r="C8" s="1" t="str">
        <x:v>产业连接平台</x:v>
      </x:c>
      <x:c r="D8" s="10" t="n">
        <x:v>120</x:v>
      </x:c>
      <x:c r="E8" s="10" t="n">
        <x:v>24</x:v>
      </x:c>
      <x:c r="F8" s="10" t="n">
        <x:v>7</x:v>
      </x:c>
      <x:c r="G8" s="10" t="n">
        <x:v>42</x:v>
      </x:c>
      <x:c r="H8" s="10" t="n">
        <x:v>12</x:v>
      </x:c>
      <x:c r="I8" s="10" t="n">
        <x:v>6</x:v>
      </x:c>
      <x:c r="J8" s="10" t="n">
        <x:v>5</x:v>
      </x:c>
      <x:c r="K8" s="10" t="n">
        <x:v>3</x:v>
      </x:c>
      <x:c r="L8" s="10" t="n">
        <x:v>0.6</x:v>
      </x:c>
      <x:c r="M8" s="8" t="n">
        <x:f>(G8*'假设'!D37+SUM(H8:K8))*'假设'!D57</x:f>
        <x:v>59.6</x:v>
      </x:c>
      <x:c r="N8" s="8" t="n">
        <x:f>M8+L8*12*'假设'!D57</x:f>
        <x:v>66.8</x:v>
      </x:c>
      <x:c r="O8" s="8" t="n">
        <x:f>SUM(D8:E8)*'假设'!D52</x:f>
        <x:v>144</x:v>
      </x:c>
      <x:c r="P8" s="18" t="n">
        <x:f>(O8-N8-O8*'假设'!D47)/O8</x:f>
        <x:v>0.4861111111111111</x:v>
      </x:c>
      <x:c r="Q8" s="8" t="n">
        <x:f>N8/(1-40%-'假设'!D47)</x:f>
        <x:v>121.45454545454547</x:v>
      </x:c>
      <x:c r="R8" s="16" t="n">
        <x:f>1-Q8/O8</x:f>
        <x:v>0.15656565656565646</x:v>
      </x:c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</x:row>
    <x:row r="10" ht="23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</x:row>
    <x:row r="11" ht="26" customHeight="1">
      <x:c r="A11" s="1"/>
      <x:c r="B11" s="1"/>
      <x:c r="C11" s="1" t="str">
        <x:v>定价依据</x:v>
      </x:c>
      <x:c r="D11" s="17" t="str">
        <x:v>H01：成本加毛利与客户收益约束；没有公开可比中标价，不宣称行业均价。</x:v>
      </x:c>
      <x:c r="E11" s="17"/>
      <x:c r="F11" s="17"/>
      <x:c r="G11" s="17"/>
      <x:c r="H11" s="17"/>
      <x:c r="I11" s="17"/>
      <x:c r="J11" s="17"/>
      <x:c r="K11" s="17"/>
      <x:c r="L11" s="1"/>
      <x:c r="M11" s="1"/>
      <x:c r="N11" s="1"/>
      <x:c r="O11" s="1"/>
      <x:c r="P11" s="1"/>
      <x:c r="Q11" s="1"/>
      <x:c r="R11" s="1"/>
    </x:row>
    <x:row r="12" ht="26" customHeight="1">
      <x:c r="A12" s="1"/>
      <x:c r="B12" s="1"/>
      <x:c r="C12" s="1" t="str">
        <x:v>项目边界</x:v>
      </x:c>
      <x:c r="D12" s="17" t="str">
        <x:v>验证1接口；企业平台2–3接口；产业平台4–6接口。额外接口、牌照、硬件另报。</x:v>
      </x:c>
      <x:c r="E12" s="17"/>
      <x:c r="F12" s="17"/>
      <x:c r="G12" s="17"/>
      <x:c r="H12" s="17"/>
      <x:c r="I12" s="17"/>
      <x:c r="J12" s="17"/>
      <x:c r="K12" s="17"/>
      <x:c r="L12" s="1"/>
      <x:c r="M12" s="1"/>
      <x:c r="N12" s="1"/>
      <x:c r="O12" s="1"/>
      <x:c r="P12" s="1"/>
      <x:c r="Q12" s="1"/>
      <x:c r="R12" s="1"/>
    </x:row>
    <x:row r="13" ht="26" customHeight="1">
      <x:c r="A13" s="1"/>
      <x:c r="B13" s="1"/>
      <x:c r="C13" s="1" t="str">
        <x:v>免重复计费</x:v>
      </x:c>
      <x:c r="D13" s="17" t="str">
        <x:v>验证为单独交付且不抵扣。若客户要求抵扣，必须从生产净合同额扣减。</x:v>
      </x:c>
      <x:c r="E13" s="17"/>
      <x:c r="F13" s="17"/>
      <x:c r="G13" s="17"/>
      <x:c r="H13" s="17"/>
      <x:c r="I13" s="17"/>
      <x:c r="J13" s="17"/>
      <x:c r="K13" s="17"/>
      <x:c r="L13" s="1"/>
      <x:c r="M13" s="1"/>
      <x:c r="N13" s="1"/>
      <x:c r="O13" s="1"/>
      <x:c r="P13" s="1"/>
      <x:c r="Q13" s="1"/>
      <x:c r="R13" s="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31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 ht="23" customHeight="1">
      <x:c r="A2" s="1"/>
      <x:c r="B2" s="1"/>
      <x:c r="C2" s="3" t="str">
        <x:v>布比中东 合同排期（金额：万美元）</x:v>
      </x:c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</x:row>
    <x:row r="3" ht="23" customHeight="1">
      <x:c r="A3" s="1"/>
      <x:c r="B3" s="1"/>
      <x:c r="C3" s="1" t="str">
        <x:v>情景</x:v>
      </x:c>
      <x:c r="D3" s="8" t="str">
        <x:f>CHOOSE('假设'!D4,"谨慎进入","资源到位目标","突破目标")</x:f>
        <x:v>资源到位目标</x:v>
      </x:c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</x:row>
    <x:row r="5" ht="32" customHeight="1">
      <x:c r="A5" s="1"/>
      <x:c r="B5" s="1"/>
      <x:c r="C5" s="6" t="str">
        <x:v>模板ID</x:v>
      </x:c>
      <x:c r="D5" s="6" t="str">
        <x:v>类别</x:v>
      </x:c>
      <x:c r="E5" s="6" t="str">
        <x:v>顺序</x:v>
      </x:c>
      <x:c r="F5" s="6" t="str">
        <x:v>启用</x:v>
      </x:c>
      <x:c r="G5" s="6" t="str">
        <x:v>原签约月</x:v>
      </x:c>
      <x:c r="H5" s="6" t="str">
        <x:v>实际签约</x:v>
      </x:c>
      <x:c r="I5" s="6" t="str">
        <x:v>验收月</x:v>
      </x:c>
      <x:c r="J5" s="6" t="str">
        <x:v>服务开始</x:v>
      </x:c>
      <x:c r="K5" s="6" t="str">
        <x:v>实施净额</x:v>
      </x:c>
      <x:c r="L5" s="6" t="str">
        <x:v>支持净额</x:v>
      </x:c>
      <x:c r="M5" s="6" t="str">
        <x:v>工程人月</x:v>
      </x:c>
      <x:c r="N5" s="6" t="str">
        <x:v>直接成本</x:v>
      </x:c>
      <x:c r="O5" s="6" t="str">
        <x:v>月支持成本</x:v>
      </x:c>
      <x:c r="P5" s="6" t="str">
        <x:v>预付款</x:v>
      </x:c>
      <x:c r="Q5" s="6" t="str">
        <x:v>中期款</x:v>
      </x:c>
      <x:c r="R5" s="6" t="str">
        <x:v>尾款</x:v>
      </x:c>
      <x:c r="S5" s="6" t="str">
        <x:v>中期开票月</x:v>
      </x:c>
      <x:c r="T5" s="6" t="str">
        <x:v>付款比例校验</x:v>
      </x:c>
    </x:row>
    <x:row r="6" ht="23" customHeight="1">
      <x:c r="A6" s="1"/>
      <x:c r="B6" s="1"/>
      <x:c r="C6" s="1" t="str">
        <x:v>P01</x:v>
      </x:c>
      <x:c r="D6" s="1" t="str">
        <x:v>收费验证</x:v>
      </x:c>
      <x:c r="E6" s="10" t="n">
        <x:v>1</x:v>
      </x:c>
      <x:c r="F6" s="8" t="n">
        <x:f>IF(E6&lt;='假设'!D7,1,0)</x:f>
        <x:v>1</x:v>
      </x:c>
      <x:c r="G6" s="10" t="n">
        <x:v>3</x:v>
      </x:c>
      <x:c r="H6" s="8" t="n">
        <x:f>G6+'假设'!D22</x:f>
        <x:v>3</x:v>
      </x:c>
      <x:c r="I6" s="8" t="n">
        <x:f>H6+'项目单价'!F6-1</x:f>
        <x:v>4</x:v>
      </x:c>
      <x:c r="J6" s="2" t="n">
        <x:f>I6+1</x:f>
        <x:v>5</x:v>
      </x:c>
      <x:c r="K6" s="8" t="n">
        <x:f>'项目单价'!D6*'假设'!D52*F6</x:f>
        <x:v>8</x:v>
      </x:c>
      <x:c r="L6" s="8" t="n">
        <x:f>'项目单价'!E6*'假设'!D52*F6</x:f>
        <x:v>0</x:v>
      </x:c>
      <x:c r="M6" s="8" t="n">
        <x:f>'项目单价'!G6*F6</x:f>
        <x:v>3</x:v>
      </x:c>
      <x:c r="N6" s="8" t="n">
        <x:f>'项目单价'!M6*F6</x:f>
        <x:v>3.7</x:v>
      </x:c>
      <x:c r="O6" s="8" t="n">
        <x:f>'项目单价'!L6*'假设'!D57*F6</x:f>
        <x:v>0</x:v>
      </x:c>
      <x:c r="P6" s="15" t="n">
        <x:v>0.3</x:v>
      </x:c>
      <x:c r="Q6" s="15" t="n">
        <x:v>0.4</x:v>
      </x:c>
      <x:c r="R6" s="15" t="n">
        <x:v>0.3</x:v>
      </x:c>
      <x:c r="S6" s="8" t="n">
        <x:f>H6+INT(('项目单价'!F6)/2)</x:f>
        <x:v>4</x:v>
      </x:c>
      <x:c r="T6" s="2" t="n">
        <x:f>SUM(P6:R6)-1</x:f>
        <x:v>0</x:v>
      </x:c>
    </x:row>
    <x:row r="7" ht="23" customHeight="1">
      <x:c r="A7" s="1"/>
      <x:c r="B7" s="1"/>
      <x:c r="C7" s="1" t="str">
        <x:v>P02</x:v>
      </x:c>
      <x:c r="D7" s="1" t="str">
        <x:v>收费验证</x:v>
      </x:c>
      <x:c r="E7" s="10" t="n">
        <x:v>2</x:v>
      </x:c>
      <x:c r="F7" s="8" t="n">
        <x:f>IF(E7&lt;='假设'!D7,1,0)</x:f>
        <x:v>1</x:v>
      </x:c>
      <x:c r="G7" s="10" t="n">
        <x:v>4</x:v>
      </x:c>
      <x:c r="H7" s="8" t="n">
        <x:f>G7+'假设'!D22</x:f>
        <x:v>4</x:v>
      </x:c>
      <x:c r="I7" s="8" t="n">
        <x:f>H7+'项目单价'!F6-1</x:f>
        <x:v>5</x:v>
      </x:c>
      <x:c r="J7" s="2" t="n">
        <x:f>I7+1</x:f>
        <x:v>6</x:v>
      </x:c>
      <x:c r="K7" s="8" t="n">
        <x:f>'项目单价'!D6*'假设'!D52*F7</x:f>
        <x:v>8</x:v>
      </x:c>
      <x:c r="L7" s="8" t="n">
        <x:f>'项目单价'!E6*'假设'!D52*F7</x:f>
        <x:v>0</x:v>
      </x:c>
      <x:c r="M7" s="8" t="n">
        <x:f>'项目单价'!G6*F7</x:f>
        <x:v>3</x:v>
      </x:c>
      <x:c r="N7" s="8" t="n">
        <x:f>'项目单价'!M6*F7</x:f>
        <x:v>3.7</x:v>
      </x:c>
      <x:c r="O7" s="8" t="n">
        <x:f>'项目单价'!L6*'假设'!D57*F7</x:f>
        <x:v>0</x:v>
      </x:c>
      <x:c r="P7" s="15" t="n">
        <x:v>0.3</x:v>
      </x:c>
      <x:c r="Q7" s="15" t="n">
        <x:v>0.4</x:v>
      </x:c>
      <x:c r="R7" s="15" t="n">
        <x:v>0.3</x:v>
      </x:c>
      <x:c r="S7" s="8" t="n">
        <x:f>H7+INT(('项目单价'!F6)/2)</x:f>
        <x:v>5</x:v>
      </x:c>
      <x:c r="T7" s="2" t="n">
        <x:f>SUM(P7:R7)-1</x:f>
        <x:v>0</x:v>
      </x:c>
    </x:row>
    <x:row r="8" ht="23" customHeight="1">
      <x:c r="A8" s="1"/>
      <x:c r="B8" s="1"/>
      <x:c r="C8" s="1" t="str">
        <x:v>P03</x:v>
      </x:c>
      <x:c r="D8" s="1" t="str">
        <x:v>收费验证</x:v>
      </x:c>
      <x:c r="E8" s="10" t="n">
        <x:v>3</x:v>
      </x:c>
      <x:c r="F8" s="8" t="n">
        <x:f>IF(E8&lt;='假设'!D7,1,0)</x:f>
        <x:v>1</x:v>
      </x:c>
      <x:c r="G8" s="10" t="n">
        <x:v>5</x:v>
      </x:c>
      <x:c r="H8" s="8" t="n">
        <x:f>G8+'假设'!D22</x:f>
        <x:v>5</x:v>
      </x:c>
      <x:c r="I8" s="8" t="n">
        <x:f>H8+'项目单价'!F6-1</x:f>
        <x:v>6</x:v>
      </x:c>
      <x:c r="J8" s="2" t="n">
        <x:f>I8+1</x:f>
        <x:v>7</x:v>
      </x:c>
      <x:c r="K8" s="8" t="n">
        <x:f>'项目单价'!D6*'假设'!D52*F8</x:f>
        <x:v>8</x:v>
      </x:c>
      <x:c r="L8" s="8" t="n">
        <x:f>'项目单价'!E6*'假设'!D52*F8</x:f>
        <x:v>0</x:v>
      </x:c>
      <x:c r="M8" s="8" t="n">
        <x:f>'项目单价'!G6*F8</x:f>
        <x:v>3</x:v>
      </x:c>
      <x:c r="N8" s="8" t="n">
        <x:f>'项目单价'!M6*F8</x:f>
        <x:v>3.7</x:v>
      </x:c>
      <x:c r="O8" s="8" t="n">
        <x:f>'项目单价'!L6*'假设'!D57*F8</x:f>
        <x:v>0</x:v>
      </x:c>
      <x:c r="P8" s="15" t="n">
        <x:v>0.3</x:v>
      </x:c>
      <x:c r="Q8" s="15" t="n">
        <x:v>0.4</x:v>
      </x:c>
      <x:c r="R8" s="15" t="n">
        <x:v>0.3</x:v>
      </x:c>
      <x:c r="S8" s="8" t="n">
        <x:f>H8+INT(('项目单价'!F6)/2)</x:f>
        <x:v>6</x:v>
      </x:c>
      <x:c r="T8" s="2" t="n">
        <x:f>SUM(P8:R8)-1</x:f>
        <x:v>0</x:v>
      </x:c>
    </x:row>
    <x:row r="9" ht="23" customHeight="1">
      <x:c r="A9" s="1"/>
      <x:c r="B9" s="1"/>
      <x:c r="C9" s="1" t="str">
        <x:v>P04</x:v>
      </x:c>
      <x:c r="D9" s="1" t="str">
        <x:v>收费验证</x:v>
      </x:c>
      <x:c r="E9" s="10" t="n">
        <x:v>4</x:v>
      </x:c>
      <x:c r="F9" s="8" t="n">
        <x:f>IF(E9&lt;='假设'!D7,1,0)</x:f>
        <x:v>1</x:v>
      </x:c>
      <x:c r="G9" s="10" t="n">
        <x:v>6</x:v>
      </x:c>
      <x:c r="H9" s="8" t="n">
        <x:f>G9+'假设'!D22</x:f>
        <x:v>6</x:v>
      </x:c>
      <x:c r="I9" s="8" t="n">
        <x:f>H9+'项目单价'!F6-1</x:f>
        <x:v>7</x:v>
      </x:c>
      <x:c r="J9" s="2" t="n">
        <x:f>I9+1</x:f>
        <x:v>8</x:v>
      </x:c>
      <x:c r="K9" s="8" t="n">
        <x:f>'项目单价'!D6*'假设'!D52*F9</x:f>
        <x:v>8</x:v>
      </x:c>
      <x:c r="L9" s="8" t="n">
        <x:f>'项目单价'!E6*'假设'!D52*F9</x:f>
        <x:v>0</x:v>
      </x:c>
      <x:c r="M9" s="8" t="n">
        <x:f>'项目单价'!G6*F9</x:f>
        <x:v>3</x:v>
      </x:c>
      <x:c r="N9" s="8" t="n">
        <x:f>'项目单价'!M6*F9</x:f>
        <x:v>3.7</x:v>
      </x:c>
      <x:c r="O9" s="8" t="n">
        <x:f>'项目单价'!L6*'假设'!D57*F9</x:f>
        <x:v>0</x:v>
      </x:c>
      <x:c r="P9" s="15" t="n">
        <x:v>0.3</x:v>
      </x:c>
      <x:c r="Q9" s="15" t="n">
        <x:v>0.4</x:v>
      </x:c>
      <x:c r="R9" s="15" t="n">
        <x:v>0.3</x:v>
      </x:c>
      <x:c r="S9" s="8" t="n">
        <x:f>H9+INT(('项目单价'!F6)/2)</x:f>
        <x:v>7</x:v>
      </x:c>
      <x:c r="T9" s="2" t="n">
        <x:f>SUM(P9:R9)-1</x:f>
        <x:v>0</x:v>
      </x:c>
    </x:row>
    <x:row r="10" ht="23" customHeight="1">
      <x:c r="A10" s="1"/>
      <x:c r="B10" s="1"/>
      <x:c r="C10" s="1" t="str">
        <x:v>P05</x:v>
      </x:c>
      <x:c r="D10" s="1" t="str">
        <x:v>收费验证</x:v>
      </x:c>
      <x:c r="E10" s="10" t="n">
        <x:v>5</x:v>
      </x:c>
      <x:c r="F10" s="8" t="n">
        <x:f>IF(E10&lt;='假设'!D7,1,0)</x:f>
        <x:v>1</x:v>
      </x:c>
      <x:c r="G10" s="10" t="n">
        <x:v>7</x:v>
      </x:c>
      <x:c r="H10" s="8" t="n">
        <x:f>G10+'假设'!D22</x:f>
        <x:v>7</x:v>
      </x:c>
      <x:c r="I10" s="8" t="n">
        <x:f>H10+'项目单价'!F6-1</x:f>
        <x:v>8</x:v>
      </x:c>
      <x:c r="J10" s="2" t="n">
        <x:f>I10+1</x:f>
        <x:v>9</x:v>
      </x:c>
      <x:c r="K10" s="8" t="n">
        <x:f>'项目单价'!D6*'假设'!D52*F10</x:f>
        <x:v>8</x:v>
      </x:c>
      <x:c r="L10" s="8" t="n">
        <x:f>'项目单价'!E6*'假设'!D52*F10</x:f>
        <x:v>0</x:v>
      </x:c>
      <x:c r="M10" s="8" t="n">
        <x:f>'项目单价'!G6*F10</x:f>
        <x:v>3</x:v>
      </x:c>
      <x:c r="N10" s="8" t="n">
        <x:f>'项目单价'!M6*F10</x:f>
        <x:v>3.7</x:v>
      </x:c>
      <x:c r="O10" s="8" t="n">
        <x:f>'项目单价'!L6*'假设'!D57*F10</x:f>
        <x:v>0</x:v>
      </x:c>
      <x:c r="P10" s="15" t="n">
        <x:v>0.3</x:v>
      </x:c>
      <x:c r="Q10" s="15" t="n">
        <x:v>0.4</x:v>
      </x:c>
      <x:c r="R10" s="15" t="n">
        <x:v>0.3</x:v>
      </x:c>
      <x:c r="S10" s="8" t="n">
        <x:f>H10+INT(('项目单价'!F6)/2)</x:f>
        <x:v>8</x:v>
      </x:c>
      <x:c r="T10" s="2" t="n">
        <x:f>SUM(P10:R10)-1</x:f>
        <x:v>0</x:v>
      </x:c>
    </x:row>
    <x:row r="11" ht="23" customHeight="1">
      <x:c r="A11" s="1"/>
      <x:c r="B11" s="1"/>
      <x:c r="C11" s="1" t="str">
        <x:v>P06</x:v>
      </x:c>
      <x:c r="D11" s="1" t="str">
        <x:v>收费验证</x:v>
      </x:c>
      <x:c r="E11" s="10" t="n">
        <x:v>6</x:v>
      </x:c>
      <x:c r="F11" s="8" t="n">
        <x:f>IF(E11&lt;='假设'!D7,1,0)</x:f>
        <x:v>1</x:v>
      </x:c>
      <x:c r="G11" s="10" t="n">
        <x:v>8</x:v>
      </x:c>
      <x:c r="H11" s="8" t="n">
        <x:f>G11+'假设'!D22</x:f>
        <x:v>8</x:v>
      </x:c>
      <x:c r="I11" s="8" t="n">
        <x:f>H11+'项目单价'!F6-1</x:f>
        <x:v>9</x:v>
      </x:c>
      <x:c r="J11" s="2" t="n">
        <x:f>I11+1</x:f>
        <x:v>10</x:v>
      </x:c>
      <x:c r="K11" s="8" t="n">
        <x:f>'项目单价'!D6*'假设'!D52*F11</x:f>
        <x:v>8</x:v>
      </x:c>
      <x:c r="L11" s="8" t="n">
        <x:f>'项目单价'!E6*'假设'!D52*F11</x:f>
        <x:v>0</x:v>
      </x:c>
      <x:c r="M11" s="8" t="n">
        <x:f>'项目单价'!G6*F11</x:f>
        <x:v>3</x:v>
      </x:c>
      <x:c r="N11" s="8" t="n">
        <x:f>'项目单价'!M6*F11</x:f>
        <x:v>3.7</x:v>
      </x:c>
      <x:c r="O11" s="8" t="n">
        <x:f>'项目单价'!L6*'假设'!D57*F11</x:f>
        <x:v>0</x:v>
      </x:c>
      <x:c r="P11" s="15" t="n">
        <x:v>0.3</x:v>
      </x:c>
      <x:c r="Q11" s="15" t="n">
        <x:v>0.4</x:v>
      </x:c>
      <x:c r="R11" s="15" t="n">
        <x:v>0.3</x:v>
      </x:c>
      <x:c r="S11" s="8" t="n">
        <x:f>H11+INT(('项目单价'!F6)/2)</x:f>
        <x:v>9</x:v>
      </x:c>
      <x:c r="T11" s="2" t="n">
        <x:f>SUM(P11:R11)-1</x:f>
        <x:v>0</x:v>
      </x:c>
    </x:row>
    <x:row r="12" ht="23" customHeight="1">
      <x:c r="A12" s="1"/>
      <x:c r="B12" s="1"/>
      <x:c r="C12" s="1" t="str">
        <x:v>P07</x:v>
      </x:c>
      <x:c r="D12" s="1" t="str">
        <x:v>收费验证</x:v>
      </x:c>
      <x:c r="E12" s="10" t="n">
        <x:v>7</x:v>
      </x:c>
      <x:c r="F12" s="8" t="n">
        <x:f>IF(E12&lt;='假设'!D7,1,0)</x:f>
        <x:v>1</x:v>
      </x:c>
      <x:c r="G12" s="10" t="n">
        <x:v>9</x:v>
      </x:c>
      <x:c r="H12" s="8" t="n">
        <x:f>G12+'假设'!D22</x:f>
        <x:v>9</x:v>
      </x:c>
      <x:c r="I12" s="8" t="n">
        <x:f>H12+'项目单价'!F6-1</x:f>
        <x:v>10</x:v>
      </x:c>
      <x:c r="J12" s="2" t="n">
        <x:f>I12+1</x:f>
        <x:v>11</x:v>
      </x:c>
      <x:c r="K12" s="8" t="n">
        <x:f>'项目单价'!D6*'假设'!D52*F12</x:f>
        <x:v>8</x:v>
      </x:c>
      <x:c r="L12" s="8" t="n">
        <x:f>'项目单价'!E6*'假设'!D52*F12</x:f>
        <x:v>0</x:v>
      </x:c>
      <x:c r="M12" s="8" t="n">
        <x:f>'项目单价'!G6*F12</x:f>
        <x:v>3</x:v>
      </x:c>
      <x:c r="N12" s="8" t="n">
        <x:f>'项目单价'!M6*F12</x:f>
        <x:v>3.7</x:v>
      </x:c>
      <x:c r="O12" s="8" t="n">
        <x:f>'项目单价'!L6*'假设'!D57*F12</x:f>
        <x:v>0</x:v>
      </x:c>
      <x:c r="P12" s="15" t="n">
        <x:v>0.3</x:v>
      </x:c>
      <x:c r="Q12" s="15" t="n">
        <x:v>0.4</x:v>
      </x:c>
      <x:c r="R12" s="15" t="n">
        <x:v>0.3</x:v>
      </x:c>
      <x:c r="S12" s="8" t="n">
        <x:f>H12+INT(('项目单价'!F6)/2)</x:f>
        <x:v>10</x:v>
      </x:c>
      <x:c r="T12" s="2" t="n">
        <x:f>SUM(P12:R12)-1</x:f>
        <x:v>0</x:v>
      </x:c>
    </x:row>
    <x:row r="13" ht="23" customHeight="1">
      <x:c r="A13" s="1"/>
      <x:c r="B13" s="1"/>
      <x:c r="C13" s="1" t="str">
        <x:v>P08</x:v>
      </x:c>
      <x:c r="D13" s="1" t="str">
        <x:v>收费验证</x:v>
      </x:c>
      <x:c r="E13" s="10" t="n">
        <x:v>8</x:v>
      </x:c>
      <x:c r="F13" s="8" t="n">
        <x:f>IF(E13&lt;='假设'!D7,1,0)</x:f>
        <x:v>1</x:v>
      </x:c>
      <x:c r="G13" s="10" t="n">
        <x:v>10</x:v>
      </x:c>
      <x:c r="H13" s="8" t="n">
        <x:f>G13+'假设'!D22</x:f>
        <x:v>10</x:v>
      </x:c>
      <x:c r="I13" s="8" t="n">
        <x:f>H13+'项目单价'!F6-1</x:f>
        <x:v>11</x:v>
      </x:c>
      <x:c r="J13" s="2" t="n">
        <x:f>I13+1</x:f>
        <x:v>12</x:v>
      </x:c>
      <x:c r="K13" s="8" t="n">
        <x:f>'项目单价'!D6*'假设'!D52*F13</x:f>
        <x:v>8</x:v>
      </x:c>
      <x:c r="L13" s="8" t="n">
        <x:f>'项目单价'!E6*'假设'!D52*F13</x:f>
        <x:v>0</x:v>
      </x:c>
      <x:c r="M13" s="8" t="n">
        <x:f>'项目单价'!G6*F13</x:f>
        <x:v>3</x:v>
      </x:c>
      <x:c r="N13" s="8" t="n">
        <x:f>'项目单价'!M6*F13</x:f>
        <x:v>3.7</x:v>
      </x:c>
      <x:c r="O13" s="8" t="n">
        <x:f>'项目单价'!L6*'假设'!D57*F13</x:f>
        <x:v>0</x:v>
      </x:c>
      <x:c r="P13" s="15" t="n">
        <x:v>0.3</x:v>
      </x:c>
      <x:c r="Q13" s="15" t="n">
        <x:v>0.4</x:v>
      </x:c>
      <x:c r="R13" s="15" t="n">
        <x:v>0.3</x:v>
      </x:c>
      <x:c r="S13" s="8" t="n">
        <x:f>H13+INT(('项目单价'!F6)/2)</x:f>
        <x:v>11</x:v>
      </x:c>
      <x:c r="T13" s="2" t="n">
        <x:f>SUM(P13:R13)-1</x:f>
        <x:v>0</x:v>
      </x:c>
    </x:row>
    <x:row r="14" ht="23" customHeight="1">
      <x:c r="A14" s="1"/>
      <x:c r="B14" s="1"/>
      <x:c r="C14" s="1" t="str">
        <x:v>P09</x:v>
      </x:c>
      <x:c r="D14" s="1" t="str">
        <x:v>收费验证</x:v>
      </x:c>
      <x:c r="E14" s="10" t="n">
        <x:v>9</x:v>
      </x:c>
      <x:c r="F14" s="8" t="n">
        <x:f>IF(E14&lt;='假设'!D7,1,0)</x:f>
        <x:v>0</x:v>
      </x:c>
      <x:c r="G14" s="10" t="n">
        <x:v>10</x:v>
      </x:c>
      <x:c r="H14" s="8" t="n">
        <x:f>G14+'假设'!D22</x:f>
        <x:v>10</x:v>
      </x:c>
      <x:c r="I14" s="8" t="n">
        <x:f>H14+'项目单价'!F6-1</x:f>
        <x:v>11</x:v>
      </x:c>
      <x:c r="J14" s="2" t="n">
        <x:f>I14+1</x:f>
        <x:v>12</x:v>
      </x:c>
      <x:c r="K14" s="8" t="n">
        <x:f>'项目单价'!D6*'假设'!D52*F14</x:f>
        <x:v>0</x:v>
      </x:c>
      <x:c r="L14" s="8" t="n">
        <x:f>'项目单价'!E6*'假设'!D52*F14</x:f>
        <x:v>0</x:v>
      </x:c>
      <x:c r="M14" s="8" t="n">
        <x:f>'项目单价'!G6*F14</x:f>
        <x:v>0</x:v>
      </x:c>
      <x:c r="N14" s="8" t="n">
        <x:f>'项目单价'!M6*F14</x:f>
        <x:v>0</x:v>
      </x:c>
      <x:c r="O14" s="8" t="n">
        <x:f>'项目单价'!L6*'假设'!D57*F14</x:f>
        <x:v>0</x:v>
      </x:c>
      <x:c r="P14" s="15" t="n">
        <x:v>0.3</x:v>
      </x:c>
      <x:c r="Q14" s="15" t="n">
        <x:v>0.4</x:v>
      </x:c>
      <x:c r="R14" s="15" t="n">
        <x:v>0.3</x:v>
      </x:c>
      <x:c r="S14" s="8" t="n">
        <x:f>H14+INT(('项目单价'!F6)/2)</x:f>
        <x:v>11</x:v>
      </x:c>
      <x:c r="T14" s="2" t="n">
        <x:f>SUM(P14:R14)-1</x:f>
        <x:v>0</x:v>
      </x:c>
    </x:row>
    <x:row r="15" ht="23" customHeight="1">
      <x:c r="A15" s="1"/>
      <x:c r="B15" s="1"/>
      <x:c r="C15" s="1" t="str">
        <x:v>P10</x:v>
      </x:c>
      <x:c r="D15" s="1" t="str">
        <x:v>收费验证</x:v>
      </x:c>
      <x:c r="E15" s="10" t="n">
        <x:v>10</x:v>
      </x:c>
      <x:c r="F15" s="8" t="n">
        <x:f>IF(E15&lt;='假设'!D7,1,0)</x:f>
        <x:v>0</x:v>
      </x:c>
      <x:c r="G15" s="10" t="n">
        <x:v>11</x:v>
      </x:c>
      <x:c r="H15" s="8" t="n">
        <x:f>G15+'假设'!D22</x:f>
        <x:v>11</x:v>
      </x:c>
      <x:c r="I15" s="8" t="n">
        <x:f>H15+'项目单价'!F6-1</x:f>
        <x:v>12</x:v>
      </x:c>
      <x:c r="J15" s="2" t="n">
        <x:f>I15+1</x:f>
        <x:v>13</x:v>
      </x:c>
      <x:c r="K15" s="8" t="n">
        <x:f>'项目单价'!D6*'假设'!D52*F15</x:f>
        <x:v>0</x:v>
      </x:c>
      <x:c r="L15" s="8" t="n">
        <x:f>'项目单价'!E6*'假设'!D52*F15</x:f>
        <x:v>0</x:v>
      </x:c>
      <x:c r="M15" s="8" t="n">
        <x:f>'项目单价'!G6*F15</x:f>
        <x:v>0</x:v>
      </x:c>
      <x:c r="N15" s="8" t="n">
        <x:f>'项目单价'!M6*F15</x:f>
        <x:v>0</x:v>
      </x:c>
      <x:c r="O15" s="8" t="n">
        <x:f>'项目单价'!L6*'假设'!D57*F15</x:f>
        <x:v>0</x:v>
      </x:c>
      <x:c r="P15" s="15" t="n">
        <x:v>0.3</x:v>
      </x:c>
      <x:c r="Q15" s="15" t="n">
        <x:v>0.4</x:v>
      </x:c>
      <x:c r="R15" s="15" t="n">
        <x:v>0.3</x:v>
      </x:c>
      <x:c r="S15" s="8" t="n">
        <x:f>H15+INT(('项目单价'!F6)/2)</x:f>
        <x:v>12</x:v>
      </x:c>
      <x:c r="T15" s="2" t="n">
        <x:f>SUM(P15:R15)-1</x:f>
        <x:v>0</x:v>
      </x:c>
    </x:row>
    <x:row r="16" ht="23" customHeight="1">
      <x:c r="A16" s="1"/>
      <x:c r="B16" s="1"/>
      <x:c r="C16" s="1" t="str">
        <x:v>P11</x:v>
      </x:c>
      <x:c r="D16" s="1" t="str">
        <x:v>收费验证</x:v>
      </x:c>
      <x:c r="E16" s="10" t="n">
        <x:v>11</x:v>
      </x:c>
      <x:c r="F16" s="8" t="n">
        <x:f>IF(E16&lt;='假设'!D7,1,0)</x:f>
        <x:v>0</x:v>
      </x:c>
      <x:c r="G16" s="10" t="n">
        <x:v>11</x:v>
      </x:c>
      <x:c r="H16" s="8" t="n">
        <x:f>G16+'假设'!D22</x:f>
        <x:v>11</x:v>
      </x:c>
      <x:c r="I16" s="8" t="n">
        <x:f>H16+'项目单价'!F6-1</x:f>
        <x:v>12</x:v>
      </x:c>
      <x:c r="J16" s="2" t="n">
        <x:f>I16+1</x:f>
        <x:v>13</x:v>
      </x:c>
      <x:c r="K16" s="8" t="n">
        <x:f>'项目单价'!D6*'假设'!D52*F16</x:f>
        <x:v>0</x:v>
      </x:c>
      <x:c r="L16" s="8" t="n">
        <x:f>'项目单价'!E6*'假设'!D52*F16</x:f>
        <x:v>0</x:v>
      </x:c>
      <x:c r="M16" s="8" t="n">
        <x:f>'项目单价'!G6*F16</x:f>
        <x:v>0</x:v>
      </x:c>
      <x:c r="N16" s="8" t="n">
        <x:f>'项目单价'!M6*F16</x:f>
        <x:v>0</x:v>
      </x:c>
      <x:c r="O16" s="8" t="n">
        <x:f>'项目单价'!L6*'假设'!D57*F16</x:f>
        <x:v>0</x:v>
      </x:c>
      <x:c r="P16" s="15" t="n">
        <x:v>0.3</x:v>
      </x:c>
      <x:c r="Q16" s="15" t="n">
        <x:v>0.4</x:v>
      </x:c>
      <x:c r="R16" s="15" t="n">
        <x:v>0.3</x:v>
      </x:c>
      <x:c r="S16" s="8" t="n">
        <x:f>H16+INT(('项目单价'!F6)/2)</x:f>
        <x:v>12</x:v>
      </x:c>
      <x:c r="T16" s="2" t="n">
        <x:f>SUM(P16:R16)-1</x:f>
        <x:v>0</x:v>
      </x:c>
    </x:row>
    <x:row r="17" ht="23" customHeight="1">
      <x:c r="A17" s="1"/>
      <x:c r="B17" s="1"/>
      <x:c r="C17" s="1" t="str">
        <x:v>P12</x:v>
      </x:c>
      <x:c r="D17" s="1" t="str">
        <x:v>收费验证</x:v>
      </x:c>
      <x:c r="E17" s="10" t="n">
        <x:v>12</x:v>
      </x:c>
      <x:c r="F17" s="8" t="n">
        <x:f>IF(E17&lt;='假设'!D7,1,0)</x:f>
        <x:v>0</x:v>
      </x:c>
      <x:c r="G17" s="10" t="n">
        <x:v>12</x:v>
      </x:c>
      <x:c r="H17" s="8" t="n">
        <x:f>G17+'假设'!D22</x:f>
        <x:v>12</x:v>
      </x:c>
      <x:c r="I17" s="8" t="n">
        <x:f>H17+'项目单价'!F6-1</x:f>
        <x:v>13</x:v>
      </x:c>
      <x:c r="J17" s="2" t="n">
        <x:f>I17+1</x:f>
        <x:v>14</x:v>
      </x:c>
      <x:c r="K17" s="8" t="n">
        <x:f>'项目单价'!D6*'假设'!D52*F17</x:f>
        <x:v>0</x:v>
      </x:c>
      <x:c r="L17" s="8" t="n">
        <x:f>'项目单价'!E6*'假设'!D52*F17</x:f>
        <x:v>0</x:v>
      </x:c>
      <x:c r="M17" s="8" t="n">
        <x:f>'项目单价'!G6*F17</x:f>
        <x:v>0</x:v>
      </x:c>
      <x:c r="N17" s="8" t="n">
        <x:f>'项目单价'!M6*F17</x:f>
        <x:v>0</x:v>
      </x:c>
      <x:c r="O17" s="8" t="n">
        <x:f>'项目单价'!L6*'假设'!D57*F17</x:f>
        <x:v>0</x:v>
      </x:c>
      <x:c r="P17" s="15" t="n">
        <x:v>0.3</x:v>
      </x:c>
      <x:c r="Q17" s="15" t="n">
        <x:v>0.4</x:v>
      </x:c>
      <x:c r="R17" s="15" t="n">
        <x:v>0.3</x:v>
      </x:c>
      <x:c r="S17" s="8" t="n">
        <x:f>H17+INT(('项目单价'!F6)/2)</x:f>
        <x:v>13</x:v>
      </x:c>
      <x:c r="T17" s="2" t="n">
        <x:f>SUM(P17:R17)-1</x:f>
        <x:v>0</x:v>
      </x:c>
    </x:row>
    <x:row r="18" ht="23" customHeight="1">
      <x:c r="A18" s="1"/>
      <x:c r="B18" s="1"/>
      <x:c r="C18" s="1" t="str">
        <x:v>E01</x:v>
      </x:c>
      <x:c r="D18" s="1" t="str">
        <x:v>企业生产平台</x:v>
      </x:c>
      <x:c r="E18" s="10" t="n">
        <x:v>1</x:v>
      </x:c>
      <x:c r="F18" s="8" t="n">
        <x:f>IF(E18&lt;='假设'!D12,1,0)</x:f>
        <x:v>1</x:v>
      </x:c>
      <x:c r="G18" s="10" t="n">
        <x:v>6</x:v>
      </x:c>
      <x:c r="H18" s="8" t="n">
        <x:f>G18+'假设'!D22</x:f>
        <x:v>6</x:v>
      </x:c>
      <x:c r="I18" s="8" t="n">
        <x:f>H18+'项目单价'!F7-1</x:f>
        <x:v>9</x:v>
      </x:c>
      <x:c r="J18" s="2" t="n">
        <x:f>I18+1</x:f>
        <x:v>10</x:v>
      </x:c>
      <x:c r="K18" s="8" t="n">
        <x:f>'项目单价'!D7*'假设'!D52*F18</x:f>
        <x:v>55</x:v>
      </x:c>
      <x:c r="L18" s="8" t="n">
        <x:f>'项目单价'!E7*'假设'!D52*F18</x:f>
        <x:v>12</x:v>
      </x:c>
      <x:c r="M18" s="8" t="n">
        <x:f>'项目单价'!G7*F18</x:f>
        <x:v>18</x:v>
      </x:c>
      <x:c r="N18" s="8" t="n">
        <x:f>'项目单价'!M7*F18</x:f>
        <x:v>25.4</x:v>
      </x:c>
      <x:c r="O18" s="8" t="n">
        <x:f>'项目单价'!L7*'假设'!D57*F18</x:f>
        <x:v>0.3</x:v>
      </x:c>
      <x:c r="P18" s="15" t="n">
        <x:v>0.3</x:v>
      </x:c>
      <x:c r="Q18" s="15" t="n">
        <x:v>0.4</x:v>
      </x:c>
      <x:c r="R18" s="15" t="n">
        <x:v>0.3</x:v>
      </x:c>
      <x:c r="S18" s="8" t="n">
        <x:f>H18+INT(('项目单价'!F7)/2)</x:f>
        <x:v>8</x:v>
      </x:c>
      <x:c r="T18" s="2" t="n">
        <x:f>SUM(P18:R18)-1</x:f>
        <x:v>0</x:v>
      </x:c>
    </x:row>
    <x:row r="19" ht="23" customHeight="1">
      <x:c r="A19" s="1"/>
      <x:c r="B19" s="1"/>
      <x:c r="C19" s="1" t="str">
        <x:v>E02</x:v>
      </x:c>
      <x:c r="D19" s="1" t="str">
        <x:v>企业生产平台</x:v>
      </x:c>
      <x:c r="E19" s="10" t="n">
        <x:v>2</x:v>
      </x:c>
      <x:c r="F19" s="8" t="n">
        <x:f>IF(E19&lt;='假设'!D12,1,0)</x:f>
        <x:v>1</x:v>
      </x:c>
      <x:c r="G19" s="10" t="n">
        <x:v>7</x:v>
      </x:c>
      <x:c r="H19" s="8" t="n">
        <x:f>G19+'假设'!D22</x:f>
        <x:v>7</x:v>
      </x:c>
      <x:c r="I19" s="8" t="n">
        <x:f>H19+'项目单价'!F7-1</x:f>
        <x:v>10</x:v>
      </x:c>
      <x:c r="J19" s="2" t="n">
        <x:f>I19+1</x:f>
        <x:v>11</x:v>
      </x:c>
      <x:c r="K19" s="8" t="n">
        <x:f>'项目单价'!D7*'假设'!D52*F19</x:f>
        <x:v>55</x:v>
      </x:c>
      <x:c r="L19" s="8" t="n">
        <x:f>'项目单价'!E7*'假设'!D52*F19</x:f>
        <x:v>12</x:v>
      </x:c>
      <x:c r="M19" s="8" t="n">
        <x:f>'项目单价'!G7*F19</x:f>
        <x:v>18</x:v>
      </x:c>
      <x:c r="N19" s="8" t="n">
        <x:f>'项目单价'!M7*F19</x:f>
        <x:v>25.4</x:v>
      </x:c>
      <x:c r="O19" s="8" t="n">
        <x:f>'项目单价'!L7*'假设'!D57*F19</x:f>
        <x:v>0.3</x:v>
      </x:c>
      <x:c r="P19" s="15" t="n">
        <x:v>0.3</x:v>
      </x:c>
      <x:c r="Q19" s="15" t="n">
        <x:v>0.4</x:v>
      </x:c>
      <x:c r="R19" s="15" t="n">
        <x:v>0.3</x:v>
      </x:c>
      <x:c r="S19" s="8" t="n">
        <x:f>H19+INT(('项目单价'!F7)/2)</x:f>
        <x:v>9</x:v>
      </x:c>
      <x:c r="T19" s="2" t="n">
        <x:f>SUM(P19:R19)-1</x:f>
        <x:v>0</x:v>
      </x:c>
    </x:row>
    <x:row r="20" ht="23" customHeight="1">
      <x:c r="A20" s="1"/>
      <x:c r="B20" s="1"/>
      <x:c r="C20" s="1" t="str">
        <x:v>E03</x:v>
      </x:c>
      <x:c r="D20" s="1" t="str">
        <x:v>企业生产平台</x:v>
      </x:c>
      <x:c r="E20" s="10" t="n">
        <x:v>3</x:v>
      </x:c>
      <x:c r="F20" s="8" t="n">
        <x:f>IF(E20&lt;='假设'!D12,1,0)</x:f>
        <x:v>1</x:v>
      </x:c>
      <x:c r="G20" s="10" t="n">
        <x:v>8</x:v>
      </x:c>
      <x:c r="H20" s="8" t="n">
        <x:f>G20+'假设'!D22</x:f>
        <x:v>8</x:v>
      </x:c>
      <x:c r="I20" s="8" t="n">
        <x:f>H20+'项目单价'!F7-1</x:f>
        <x:v>11</x:v>
      </x:c>
      <x:c r="J20" s="2" t="n">
        <x:f>I20+1</x:f>
        <x:v>12</x:v>
      </x:c>
      <x:c r="K20" s="8" t="n">
        <x:f>'项目单价'!D7*'假设'!D52*F20</x:f>
        <x:v>55</x:v>
      </x:c>
      <x:c r="L20" s="8" t="n">
        <x:f>'项目单价'!E7*'假设'!D52*F20</x:f>
        <x:v>12</x:v>
      </x:c>
      <x:c r="M20" s="8" t="n">
        <x:f>'项目单价'!G7*F20</x:f>
        <x:v>18</x:v>
      </x:c>
      <x:c r="N20" s="8" t="n">
        <x:f>'项目单价'!M7*F20</x:f>
        <x:v>25.4</x:v>
      </x:c>
      <x:c r="O20" s="8" t="n">
        <x:f>'项目单价'!L7*'假设'!D57*F20</x:f>
        <x:v>0.3</x:v>
      </x:c>
      <x:c r="P20" s="15" t="n">
        <x:v>0.3</x:v>
      </x:c>
      <x:c r="Q20" s="15" t="n">
        <x:v>0.4</x:v>
      </x:c>
      <x:c r="R20" s="15" t="n">
        <x:v>0.3</x:v>
      </x:c>
      <x:c r="S20" s="8" t="n">
        <x:f>H20+INT(('项目单价'!F7)/2)</x:f>
        <x:v>10</x:v>
      </x:c>
      <x:c r="T20" s="2" t="n">
        <x:f>SUM(P20:R20)-1</x:f>
        <x:v>0</x:v>
      </x:c>
    </x:row>
    <x:row r="21" ht="23" customHeight="1">
      <x:c r="A21" s="1"/>
      <x:c r="B21" s="1"/>
      <x:c r="C21" s="1" t="str">
        <x:v>E04</x:v>
      </x:c>
      <x:c r="D21" s="1" t="str">
        <x:v>企业生产平台</x:v>
      </x:c>
      <x:c r="E21" s="10" t="n">
        <x:v>4</x:v>
      </x:c>
      <x:c r="F21" s="8" t="n">
        <x:f>IF(E21&lt;='假设'!D12,1,0)</x:f>
        <x:v>1</x:v>
      </x:c>
      <x:c r="G21" s="10" t="n">
        <x:v>9</x:v>
      </x:c>
      <x:c r="H21" s="8" t="n">
        <x:f>G21+'假设'!D22</x:f>
        <x:v>9</x:v>
      </x:c>
      <x:c r="I21" s="8" t="n">
        <x:f>H21+'项目单价'!F7-1</x:f>
        <x:v>12</x:v>
      </x:c>
      <x:c r="J21" s="2" t="n">
        <x:f>I21+1</x:f>
        <x:v>13</x:v>
      </x:c>
      <x:c r="K21" s="8" t="n">
        <x:f>'项目单价'!D7*'假设'!D52*F21</x:f>
        <x:v>55</x:v>
      </x:c>
      <x:c r="L21" s="8" t="n">
        <x:f>'项目单价'!E7*'假设'!D52*F21</x:f>
        <x:v>12</x:v>
      </x:c>
      <x:c r="M21" s="8" t="n">
        <x:f>'项目单价'!G7*F21</x:f>
        <x:v>18</x:v>
      </x:c>
      <x:c r="N21" s="8" t="n">
        <x:f>'项目单价'!M7*F21</x:f>
        <x:v>25.4</x:v>
      </x:c>
      <x:c r="O21" s="8" t="n">
        <x:f>'项目单价'!L7*'假设'!D57*F21</x:f>
        <x:v>0.3</x:v>
      </x:c>
      <x:c r="P21" s="15" t="n">
        <x:v>0.3</x:v>
      </x:c>
      <x:c r="Q21" s="15" t="n">
        <x:v>0.4</x:v>
      </x:c>
      <x:c r="R21" s="15" t="n">
        <x:v>0.3</x:v>
      </x:c>
      <x:c r="S21" s="8" t="n">
        <x:f>H21+INT(('项目单价'!F7)/2)</x:f>
        <x:v>11</x:v>
      </x:c>
      <x:c r="T21" s="2" t="n">
        <x:f>SUM(P21:R21)-1</x:f>
        <x:v>0</x:v>
      </x:c>
    </x:row>
    <x:row r="22" ht="23" customHeight="1">
      <x:c r="A22" s="1"/>
      <x:c r="B22" s="1"/>
      <x:c r="C22" s="1" t="str">
        <x:v>E05</x:v>
      </x:c>
      <x:c r="D22" s="1" t="str">
        <x:v>企业生产平台</x:v>
      </x:c>
      <x:c r="E22" s="10" t="n">
        <x:v>5</x:v>
      </x:c>
      <x:c r="F22" s="8" t="n">
        <x:f>IF(E22&lt;='假设'!D12,1,0)</x:f>
        <x:v>0</x:v>
      </x:c>
      <x:c r="G22" s="10" t="n">
        <x:v>9</x:v>
      </x:c>
      <x:c r="H22" s="8" t="n">
        <x:f>G22+'假设'!D22</x:f>
        <x:v>9</x:v>
      </x:c>
      <x:c r="I22" s="8" t="n">
        <x:f>H22+'项目单价'!F7-1</x:f>
        <x:v>12</x:v>
      </x:c>
      <x:c r="J22" s="2" t="n">
        <x:f>I22+1</x:f>
        <x:v>13</x:v>
      </x:c>
      <x:c r="K22" s="8" t="n">
        <x:f>'项目单价'!D7*'假设'!D52*F22</x:f>
        <x:v>0</x:v>
      </x:c>
      <x:c r="L22" s="8" t="n">
        <x:f>'项目单价'!E7*'假设'!D52*F22</x:f>
        <x:v>0</x:v>
      </x:c>
      <x:c r="M22" s="8" t="n">
        <x:f>'项目单价'!G7*F22</x:f>
        <x:v>0</x:v>
      </x:c>
      <x:c r="N22" s="8" t="n">
        <x:f>'项目单价'!M7*F22</x:f>
        <x:v>0</x:v>
      </x:c>
      <x:c r="O22" s="8" t="n">
        <x:f>'项目单价'!L7*'假设'!D57*F22</x:f>
        <x:v>0</x:v>
      </x:c>
      <x:c r="P22" s="15" t="n">
        <x:v>0.3</x:v>
      </x:c>
      <x:c r="Q22" s="15" t="n">
        <x:v>0.4</x:v>
      </x:c>
      <x:c r="R22" s="15" t="n">
        <x:v>0.3</x:v>
      </x:c>
      <x:c r="S22" s="8" t="n">
        <x:f>H22+INT(('项目单价'!F7)/2)</x:f>
        <x:v>11</x:v>
      </x:c>
      <x:c r="T22" s="2" t="n">
        <x:f>SUM(P22:R22)-1</x:f>
        <x:v>0</x:v>
      </x:c>
    </x:row>
    <x:row r="23" ht="23" customHeight="1">
      <x:c r="A23" s="1"/>
      <x:c r="B23" s="1"/>
      <x:c r="C23" s="1" t="str">
        <x:v>E06</x:v>
      </x:c>
      <x:c r="D23" s="1" t="str">
        <x:v>企业生产平台</x:v>
      </x:c>
      <x:c r="E23" s="10" t="n">
        <x:v>6</x:v>
      </x:c>
      <x:c r="F23" s="8" t="n">
        <x:f>IF(E23&lt;='假设'!D12,1,0)</x:f>
        <x:v>0</x:v>
      </x:c>
      <x:c r="G23" s="10" t="n">
        <x:v>10</x:v>
      </x:c>
      <x:c r="H23" s="8" t="n">
        <x:f>G23+'假设'!D22</x:f>
        <x:v>10</x:v>
      </x:c>
      <x:c r="I23" s="8" t="n">
        <x:f>H23+'项目单价'!F7-1</x:f>
        <x:v>13</x:v>
      </x:c>
      <x:c r="J23" s="2" t="n">
        <x:f>I23+1</x:f>
        <x:v>14</x:v>
      </x:c>
      <x:c r="K23" s="8" t="n">
        <x:f>'项目单价'!D7*'假设'!D52*F23</x:f>
        <x:v>0</x:v>
      </x:c>
      <x:c r="L23" s="8" t="n">
        <x:f>'项目单价'!E7*'假设'!D52*F23</x:f>
        <x:v>0</x:v>
      </x:c>
      <x:c r="M23" s="8" t="n">
        <x:f>'项目单价'!G7*F23</x:f>
        <x:v>0</x:v>
      </x:c>
      <x:c r="N23" s="8" t="n">
        <x:f>'项目单价'!M7*F23</x:f>
        <x:v>0</x:v>
      </x:c>
      <x:c r="O23" s="8" t="n">
        <x:f>'项目单价'!L7*'假设'!D57*F23</x:f>
        <x:v>0</x:v>
      </x:c>
      <x:c r="P23" s="15" t="n">
        <x:v>0.3</x:v>
      </x:c>
      <x:c r="Q23" s="15" t="n">
        <x:v>0.4</x:v>
      </x:c>
      <x:c r="R23" s="15" t="n">
        <x:v>0.3</x:v>
      </x:c>
      <x:c r="S23" s="8" t="n">
        <x:f>H23+INT(('项目单价'!F7)/2)</x:f>
        <x:v>12</x:v>
      </x:c>
      <x:c r="T23" s="2" t="n">
        <x:f>SUM(P23:R23)-1</x:f>
        <x:v>0</x:v>
      </x:c>
    </x:row>
    <x:row r="24" ht="23" customHeight="1">
      <x:c r="A24" s="1"/>
      <x:c r="B24" s="1"/>
      <x:c r="C24" s="1" t="str">
        <x:v>N01</x:v>
      </x:c>
      <x:c r="D24" s="1" t="str">
        <x:v>产业连接平台</x:v>
      </x:c>
      <x:c r="E24" s="10" t="n">
        <x:v>1</x:v>
      </x:c>
      <x:c r="F24" s="8" t="n">
        <x:f>IF(E24&lt;='假设'!D17,1,0)</x:f>
        <x:v>1</x:v>
      </x:c>
      <x:c r="G24" s="10" t="n">
        <x:v>6</x:v>
      </x:c>
      <x:c r="H24" s="8" t="n">
        <x:f>G24+'假设'!D22</x:f>
        <x:v>6</x:v>
      </x:c>
      <x:c r="I24" s="8" t="n">
        <x:f>H24+'项目单价'!F8-1</x:f>
        <x:v>12</x:v>
      </x:c>
      <x:c r="J24" s="2" t="n">
        <x:f>I24+1</x:f>
        <x:v>13</x:v>
      </x:c>
      <x:c r="K24" s="8" t="n">
        <x:f>'项目单价'!D8*'假设'!D52*F24</x:f>
        <x:v>120</x:v>
      </x:c>
      <x:c r="L24" s="8" t="n">
        <x:f>'项目单价'!E8*'假设'!D52*F24</x:f>
        <x:v>24</x:v>
      </x:c>
      <x:c r="M24" s="8" t="n">
        <x:f>'项目单价'!G8*F24</x:f>
        <x:v>42</x:v>
      </x:c>
      <x:c r="N24" s="8" t="n">
        <x:f>'项目单价'!M8*F24</x:f>
        <x:v>59.6</x:v>
      </x:c>
      <x:c r="O24" s="8" t="n">
        <x:f>'项目单价'!L8*'假设'!D57*F24</x:f>
        <x:v>0.6</x:v>
      </x:c>
      <x:c r="P24" s="15" t="n">
        <x:v>0.3</x:v>
      </x:c>
      <x:c r="Q24" s="15" t="n">
        <x:v>0.4</x:v>
      </x:c>
      <x:c r="R24" s="15" t="n">
        <x:v>0.3</x:v>
      </x:c>
      <x:c r="S24" s="8" t="n">
        <x:f>H24+INT(('项目单价'!F8)/2)</x:f>
        <x:v>9</x:v>
      </x:c>
      <x:c r="T24" s="2" t="n">
        <x:f>SUM(P24:R24)-1</x:f>
        <x:v>0</x:v>
      </x:c>
    </x:row>
    <x:row r="25" ht="23" customHeight="1">
      <x:c r="A25" s="1"/>
      <x:c r="B25" s="1"/>
      <x:c r="C25" s="1" t="str">
        <x:v>N02</x:v>
      </x:c>
      <x:c r="D25" s="1" t="str">
        <x:v>产业连接平台</x:v>
      </x:c>
      <x:c r="E25" s="10" t="n">
        <x:v>2</x:v>
      </x:c>
      <x:c r="F25" s="8" t="n">
        <x:f>IF(E25&lt;='假设'!D17,1,0)</x:f>
        <x:v>0</x:v>
      </x:c>
      <x:c r="G25" s="10" t="n">
        <x:v>9</x:v>
      </x:c>
      <x:c r="H25" s="8" t="n">
        <x:f>G25+'假设'!D22</x:f>
        <x:v>9</x:v>
      </x:c>
      <x:c r="I25" s="8" t="n">
        <x:f>H25+'项目单价'!F8-1</x:f>
        <x:v>15</x:v>
      </x:c>
      <x:c r="J25" s="2" t="n">
        <x:f>I25+1</x:f>
        <x:v>16</x:v>
      </x:c>
      <x:c r="K25" s="8" t="n">
        <x:f>'项目单价'!D8*'假设'!D52*F25</x:f>
        <x:v>0</x:v>
      </x:c>
      <x:c r="L25" s="8" t="n">
        <x:f>'项目单价'!E8*'假设'!D52*F25</x:f>
        <x:v>0</x:v>
      </x:c>
      <x:c r="M25" s="8" t="n">
        <x:f>'项目单价'!G8*F25</x:f>
        <x:v>0</x:v>
      </x:c>
      <x:c r="N25" s="8" t="n">
        <x:f>'项目单价'!M8*F25</x:f>
        <x:v>0</x:v>
      </x:c>
      <x:c r="O25" s="8" t="n">
        <x:f>'项目单价'!L8*'假设'!D57*F25</x:f>
        <x:v>0</x:v>
      </x:c>
      <x:c r="P25" s="15" t="n">
        <x:v>0.3</x:v>
      </x:c>
      <x:c r="Q25" s="15" t="n">
        <x:v>0.4</x:v>
      </x:c>
      <x:c r="R25" s="15" t="n">
        <x:v>0.3</x:v>
      </x:c>
      <x:c r="S25" s="8" t="n">
        <x:f>H25+INT(('项目单价'!F8)/2)</x:f>
        <x:v>12</x:v>
      </x:c>
      <x:c r="T25" s="2" t="n">
        <x:f>SUM(P25:R25)-1</x:f>
        <x:v>0</x:v>
      </x:c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</x:row>
    <x:row r="28" ht="26" customHeight="1">
      <x:c r="A28" s="1"/>
      <x:c r="B28" s="1"/>
      <x:c r="C28" s="1" t="str">
        <x:v>重要</x:v>
      </x:c>
      <x:c r="D28" s="17" t="str">
        <x:v>全部为假设合同槽位；P01等不是实际商机或真实客户。期初已签金额未知，不认作已有订单。</x:v>
      </x:c>
      <x:c r="E28" s="17"/>
      <x:c r="F28" s="17"/>
      <x:c r="G28" s="17"/>
      <x:c r="H28" s="17"/>
      <x:c r="I28" s="17"/>
      <x:c r="J28" s="17"/>
      <x:c r="K28" s="17"/>
      <x:c r="L28" s="1"/>
      <x:c r="M28" s="1"/>
      <x:c r="N28" s="1"/>
      <x:c r="O28" s="1"/>
      <x:c r="P28" s="1"/>
      <x:c r="Q28" s="1"/>
      <x:c r="R28" s="1"/>
      <x:c r="S28" s="1"/>
      <x:c r="T28" s="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4" ySplit="5" topLeftCell="E6" activePane="bottomRigh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31" hidden="0" customWidth="1"/>
    <x:col min="4" max="4" width="23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</x:row>
    <x:row r="2" ht="23" customHeight="1">
      <x:c r="A2" s="1"/>
      <x:c r="B2" s="1"/>
      <x:c r="C2" s="3" t="str">
        <x:v>布比中东 项目月度（金额：万美元）</x:v>
      </x:c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  <x:c r="AA2" s="3"/>
      <x:c r="AB2" s="3"/>
    </x:row>
    <x:row r="3" ht="23" customHeight="1">
      <x:c r="A3" s="1"/>
      <x:c r="B3" s="1"/>
      <x:c r="C3" s="1" t="str">
        <x:v>情景</x:v>
      </x:c>
      <x:c r="D3" s="8" t="str">
        <x:f>CHOOSE('假设'!D4,"谨慎进入","资源到位目标","突破目标")</x:f>
        <x:v>资源到位目标</x:v>
      </x:c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</x:row>
    <x:row r="5" ht="32" customHeight="1">
      <x:c r="A5" s="1"/>
      <x:c r="B5" s="1"/>
      <x:c r="C5" s="6" t="str">
        <x:v>合同</x:v>
      </x:c>
      <x:c r="D5" s="6" t="str">
        <x:v>指标</x:v>
      </x:c>
      <x:c r="E5" s="6" t="str">
        <x:v>M1</x:v>
      </x:c>
      <x:c r="F5" s="6" t="str">
        <x:v>M2</x:v>
      </x:c>
      <x:c r="G5" s="6" t="str">
        <x:v>M3</x:v>
      </x:c>
      <x:c r="H5" s="6" t="str">
        <x:v>M4</x:v>
      </x:c>
      <x:c r="I5" s="6" t="str">
        <x:v>M5</x:v>
      </x:c>
      <x:c r="J5" s="6" t="str">
        <x:v>M6</x:v>
      </x:c>
      <x:c r="K5" s="6" t="str">
        <x:v>M7</x:v>
      </x:c>
      <x:c r="L5" s="6" t="str">
        <x:v>M8</x:v>
      </x:c>
      <x:c r="M5" s="6" t="str">
        <x:v>M9</x:v>
      </x:c>
      <x:c r="N5" s="6" t="str">
        <x:v>M10</x:v>
      </x:c>
      <x:c r="O5" s="6" t="str">
        <x:v>M11</x:v>
      </x:c>
      <x:c r="P5" s="6" t="str">
        <x:v>M12</x:v>
      </x:c>
      <x:c r="Q5" s="6" t="str">
        <x:v>M13</x:v>
      </x:c>
      <x:c r="R5" s="6" t="str">
        <x:v>M14</x:v>
      </x:c>
      <x:c r="S5" s="6" t="str">
        <x:v>M15</x:v>
      </x:c>
      <x:c r="T5" s="6" t="str">
        <x:v>M16</x:v>
      </x:c>
      <x:c r="U5" s="6" t="str">
        <x:v>M17</x:v>
      </x:c>
      <x:c r="V5" s="6" t="str">
        <x:v>M18</x:v>
      </x:c>
      <x:c r="W5" s="6" t="str">
        <x:v>M19</x:v>
      </x:c>
      <x:c r="X5" s="6" t="str">
        <x:v>M20</x:v>
      </x:c>
      <x:c r="Y5" s="6" t="str">
        <x:v>M21</x:v>
      </x:c>
      <x:c r="Z5" s="6" t="str">
        <x:v>M22</x:v>
      </x:c>
      <x:c r="AA5" s="6" t="str">
        <x:v>M23</x:v>
      </x:c>
      <x:c r="AB5" s="6" t="str">
        <x:v>M24</x:v>
      </x:c>
    </x:row>
    <x:row r="6" ht="23" customHeight="1">
      <x:c r="A6" s="1"/>
      <x:c r="B6" s="1"/>
      <x:c r="C6" s="1" t="str">
        <x:v>P01</x:v>
      </x:c>
      <x:c r="D6" s="1" t="str">
        <x:v>净签约</x:v>
      </x:c>
      <x:c r="E6" s="8" t="n">
        <x:f>IF(1='合同排期'!H6,'合同排期'!K6+'合同排期'!L6,0)</x:f>
        <x:v>0</x:v>
      </x:c>
      <x:c r="F6" s="8" t="n">
        <x:f>IF(2='合同排期'!H6,'合同排期'!K6+'合同排期'!L6,0)</x:f>
        <x:v>0</x:v>
      </x:c>
      <x:c r="G6" s="8" t="n">
        <x:f>IF(3='合同排期'!H6,'合同排期'!K6+'合同排期'!L6,0)</x:f>
        <x:v>8</x:v>
      </x:c>
      <x:c r="H6" s="8" t="n">
        <x:f>IF(4='合同排期'!H6,'合同排期'!K6+'合同排期'!L6,0)</x:f>
        <x:v>0</x:v>
      </x:c>
      <x:c r="I6" s="8" t="n">
        <x:f>IF(5='合同排期'!H6,'合同排期'!K6+'合同排期'!L6,0)</x:f>
        <x:v>0</x:v>
      </x:c>
      <x:c r="J6" s="8" t="n">
        <x:f>IF(6='合同排期'!H6,'合同排期'!K6+'合同排期'!L6,0)</x:f>
        <x:v>0</x:v>
      </x:c>
      <x:c r="K6" s="8" t="n">
        <x:f>IF(7='合同排期'!H6,'合同排期'!K6+'合同排期'!L6,0)</x:f>
        <x:v>0</x:v>
      </x:c>
      <x:c r="L6" s="8" t="n">
        <x:f>IF(8='合同排期'!H6,'合同排期'!K6+'合同排期'!L6,0)</x:f>
        <x:v>0</x:v>
      </x:c>
      <x:c r="M6" s="8" t="n">
        <x:f>IF(9='合同排期'!H6,'合同排期'!K6+'合同排期'!L6,0)</x:f>
        <x:v>0</x:v>
      </x:c>
      <x:c r="N6" s="8" t="n">
        <x:f>IF(10='合同排期'!H6,'合同排期'!K6+'合同排期'!L6,0)</x:f>
        <x:v>0</x:v>
      </x:c>
      <x:c r="O6" s="8" t="n">
        <x:f>IF(11='合同排期'!H6,'合同排期'!K6+'合同排期'!L6,0)</x:f>
        <x:v>0</x:v>
      </x:c>
      <x:c r="P6" s="8" t="n">
        <x:f>IF(12='合同排期'!H6,'合同排期'!K6+'合同排期'!L6,0)</x:f>
        <x:v>0</x:v>
      </x:c>
      <x:c r="Q6" s="8" t="n">
        <x:f>IF(13='合同排期'!H6,'合同排期'!K6+'合同排期'!L6,0)</x:f>
        <x:v>0</x:v>
      </x:c>
      <x:c r="R6" s="8" t="n">
        <x:f>IF(14='合同排期'!H6,'合同排期'!K6+'合同排期'!L6,0)</x:f>
        <x:v>0</x:v>
      </x:c>
      <x:c r="S6" s="8" t="n">
        <x:f>IF(15='合同排期'!H6,'合同排期'!K6+'合同排期'!L6,0)</x:f>
        <x:v>0</x:v>
      </x:c>
      <x:c r="T6" s="8" t="n">
        <x:f>IF(16='合同排期'!H6,'合同排期'!K6+'合同排期'!L6,0)</x:f>
        <x:v>0</x:v>
      </x:c>
      <x:c r="U6" s="8" t="n">
        <x:f>IF(17='合同排期'!H6,'合同排期'!K6+'合同排期'!L6,0)</x:f>
        <x:v>0</x:v>
      </x:c>
      <x:c r="V6" s="8" t="n">
        <x:f>IF(18='合同排期'!H6,'合同排期'!K6+'合同排期'!L6,0)</x:f>
        <x:v>0</x:v>
      </x:c>
      <x:c r="W6" s="8" t="n">
        <x:f>IF(19='合同排期'!H6,'合同排期'!K6+'合同排期'!L6,0)</x:f>
        <x:v>0</x:v>
      </x:c>
      <x:c r="X6" s="8" t="n">
        <x:f>IF(20='合同排期'!H6,'合同排期'!K6+'合同排期'!L6,0)</x:f>
        <x:v>0</x:v>
      </x:c>
      <x:c r="Y6" s="8" t="n">
        <x:f>IF(21='合同排期'!H6,'合同排期'!K6+'合同排期'!L6,0)</x:f>
        <x:v>0</x:v>
      </x:c>
      <x:c r="Z6" s="8" t="n">
        <x:f>IF(22='合同排期'!H6,'合同排期'!K6+'合同排期'!L6,0)</x:f>
        <x:v>0</x:v>
      </x:c>
      <x:c r="AA6" s="8" t="n">
        <x:f>IF(23='合同排期'!H6,'合同排期'!K6+'合同排期'!L6,0)</x:f>
        <x:v>0</x:v>
      </x:c>
      <x:c r="AB6" s="8" t="n">
        <x:f>IF(24='合同排期'!H6,'合同排期'!K6+'合同排期'!L6,0)</x:f>
        <x:v>0</x:v>
      </x:c>
    </x:row>
    <x:row r="7" ht="23" customHeight="1">
      <x:c r="A7" s="1"/>
      <x:c r="B7" s="1"/>
      <x:c r="C7" s="1" t="str">
        <x:v>P01</x:v>
      </x:c>
      <x:c r="D7" s="1" t="str">
        <x:v>确认收入</x:v>
      </x:c>
      <x:c r="E7" s="8" t="n">
        <x:f>IF(1='合同排期'!I6,'合同排期'!K6,0)+IF(AND(1&gt;='合同排期'!J6,1&lt;'合同排期'!J6+12),'合同排期'!L6/12,0)</x:f>
        <x:v>0</x:v>
      </x:c>
      <x:c r="F7" s="8" t="n">
        <x:f>IF(2='合同排期'!I6,'合同排期'!K6,0)+IF(AND(2&gt;='合同排期'!J6,2&lt;'合同排期'!J6+12),'合同排期'!L6/12,0)</x:f>
        <x:v>0</x:v>
      </x:c>
      <x:c r="G7" s="8" t="n">
        <x:f>IF(3='合同排期'!I6,'合同排期'!K6,0)+IF(AND(3&gt;='合同排期'!J6,3&lt;'合同排期'!J6+12),'合同排期'!L6/12,0)</x:f>
        <x:v>0</x:v>
      </x:c>
      <x:c r="H7" s="8" t="n">
        <x:f>IF(4='合同排期'!I6,'合同排期'!K6,0)+IF(AND(4&gt;='合同排期'!J6,4&lt;'合同排期'!J6+12),'合同排期'!L6/12,0)</x:f>
        <x:v>8</x:v>
      </x:c>
      <x:c r="I7" s="8" t="n">
        <x:f>IF(5='合同排期'!I6,'合同排期'!K6,0)+IF(AND(5&gt;='合同排期'!J6,5&lt;'合同排期'!J6+12),'合同排期'!L6/12,0)</x:f>
        <x:v>0</x:v>
      </x:c>
      <x:c r="J7" s="8" t="n">
        <x:f>IF(6='合同排期'!I6,'合同排期'!K6,0)+IF(AND(6&gt;='合同排期'!J6,6&lt;'合同排期'!J6+12),'合同排期'!L6/12,0)</x:f>
        <x:v>0</x:v>
      </x:c>
      <x:c r="K7" s="8" t="n">
        <x:f>IF(7='合同排期'!I6,'合同排期'!K6,0)+IF(AND(7&gt;='合同排期'!J6,7&lt;'合同排期'!J6+12),'合同排期'!L6/12,0)</x:f>
        <x:v>0</x:v>
      </x:c>
      <x:c r="L7" s="8" t="n">
        <x:f>IF(8='合同排期'!I6,'合同排期'!K6,0)+IF(AND(8&gt;='合同排期'!J6,8&lt;'合同排期'!J6+12),'合同排期'!L6/12,0)</x:f>
        <x:v>0</x:v>
      </x:c>
      <x:c r="M7" s="8" t="n">
        <x:f>IF(9='合同排期'!I6,'合同排期'!K6,0)+IF(AND(9&gt;='合同排期'!J6,9&lt;'合同排期'!J6+12),'合同排期'!L6/12,0)</x:f>
        <x:v>0</x:v>
      </x:c>
      <x:c r="N7" s="8" t="n">
        <x:f>IF(10='合同排期'!I6,'合同排期'!K6,0)+IF(AND(10&gt;='合同排期'!J6,10&lt;'合同排期'!J6+12),'合同排期'!L6/12,0)</x:f>
        <x:v>0</x:v>
      </x:c>
      <x:c r="O7" s="8" t="n">
        <x:f>IF(11='合同排期'!I6,'合同排期'!K6,0)+IF(AND(11&gt;='合同排期'!J6,11&lt;'合同排期'!J6+12),'合同排期'!L6/12,0)</x:f>
        <x:v>0</x:v>
      </x:c>
      <x:c r="P7" s="8" t="n">
        <x:f>IF(12='合同排期'!I6,'合同排期'!K6,0)+IF(AND(12&gt;='合同排期'!J6,12&lt;'合同排期'!J6+12),'合同排期'!L6/12,0)</x:f>
        <x:v>0</x:v>
      </x:c>
      <x:c r="Q7" s="8" t="n">
        <x:f>IF(13='合同排期'!I6,'合同排期'!K6,0)+IF(AND(13&gt;='合同排期'!J6,13&lt;'合同排期'!J6+12),'合同排期'!L6/12,0)</x:f>
        <x:v>0</x:v>
      </x:c>
      <x:c r="R7" s="8" t="n">
        <x:f>IF(14='合同排期'!I6,'合同排期'!K6,0)+IF(AND(14&gt;='合同排期'!J6,14&lt;'合同排期'!J6+12),'合同排期'!L6/12,0)</x:f>
        <x:v>0</x:v>
      </x:c>
      <x:c r="S7" s="8" t="n">
        <x:f>IF(15='合同排期'!I6,'合同排期'!K6,0)+IF(AND(15&gt;='合同排期'!J6,15&lt;'合同排期'!J6+12),'合同排期'!L6/12,0)</x:f>
        <x:v>0</x:v>
      </x:c>
      <x:c r="T7" s="8" t="n">
        <x:f>IF(16='合同排期'!I6,'合同排期'!K6,0)+IF(AND(16&gt;='合同排期'!J6,16&lt;'合同排期'!J6+12),'合同排期'!L6/12,0)</x:f>
        <x:v>0</x:v>
      </x:c>
      <x:c r="U7" s="8" t="n">
        <x:f>IF(17='合同排期'!I6,'合同排期'!K6,0)+IF(AND(17&gt;='合同排期'!J6,17&lt;'合同排期'!J6+12),'合同排期'!L6/12,0)</x:f>
        <x:v>0</x:v>
      </x:c>
      <x:c r="V7" s="8" t="n">
        <x:f>IF(18='合同排期'!I6,'合同排期'!K6,0)+IF(AND(18&gt;='合同排期'!J6,18&lt;'合同排期'!J6+12),'合同排期'!L6/12,0)</x:f>
        <x:v>0</x:v>
      </x:c>
      <x:c r="W7" s="8" t="n">
        <x:f>IF(19='合同排期'!I6,'合同排期'!K6,0)+IF(AND(19&gt;='合同排期'!J6,19&lt;'合同排期'!J6+12),'合同排期'!L6/12,0)</x:f>
        <x:v>0</x:v>
      </x:c>
      <x:c r="X7" s="8" t="n">
        <x:f>IF(20='合同排期'!I6,'合同排期'!K6,0)+IF(AND(20&gt;='合同排期'!J6,20&lt;'合同排期'!J6+12),'合同排期'!L6/12,0)</x:f>
        <x:v>0</x:v>
      </x:c>
      <x:c r="Y7" s="8" t="n">
        <x:f>IF(21='合同排期'!I6,'合同排期'!K6,0)+IF(AND(21&gt;='合同排期'!J6,21&lt;'合同排期'!J6+12),'合同排期'!L6/12,0)</x:f>
        <x:v>0</x:v>
      </x:c>
      <x:c r="Z7" s="8" t="n">
        <x:f>IF(22='合同排期'!I6,'合同排期'!K6,0)+IF(AND(22&gt;='合同排期'!J6,22&lt;'合同排期'!J6+12),'合同排期'!L6/12,0)</x:f>
        <x:v>0</x:v>
      </x:c>
      <x:c r="AA7" s="8" t="n">
        <x:f>IF(23='合同排期'!I6,'合同排期'!K6,0)+IF(AND(23&gt;='合同排期'!J6,23&lt;'合同排期'!J6+12),'合同排期'!L6/12,0)</x:f>
        <x:v>0</x:v>
      </x:c>
      <x:c r="AB7" s="8" t="n">
        <x:f>IF(24='合同排期'!I6,'合同排期'!K6,0)+IF(AND(24&gt;='合同排期'!J6,24&lt;'合同排期'!J6+12),'合同排期'!L6/12,0)</x:f>
        <x:v>0</x:v>
      </x:c>
    </x:row>
    <x:row r="8" ht="23" customHeight="1">
      <x:c r="A8" s="1"/>
      <x:c r="B8" s="1"/>
      <x:c r="C8" s="1" t="str">
        <x:v>P01</x:v>
      </x:c>
      <x:c r="D8" s="1" t="str">
        <x:v>开票</x:v>
      </x:c>
      <x:c r="E8" s="8" t="n">
        <x:f>IF(1='合同排期'!H6,'合同排期'!K6*'合同排期'!P6,0)+IF(1='合同排期'!S6,'合同排期'!K6*'合同排期'!Q6,0)+IF(1='合同排期'!I6,'合同排期'!K6*'合同排期'!R6,0)+IF(1='合同排期'!J6,'合同排期'!L6,0)</x:f>
        <x:v>0</x:v>
      </x:c>
      <x:c r="F8" s="8" t="n">
        <x:f>IF(2='合同排期'!H6,'合同排期'!K6*'合同排期'!P6,0)+IF(2='合同排期'!S6,'合同排期'!K6*'合同排期'!Q6,0)+IF(2='合同排期'!I6,'合同排期'!K6*'合同排期'!R6,0)+IF(2='合同排期'!J6,'合同排期'!L6,0)</x:f>
        <x:v>0</x:v>
      </x:c>
      <x:c r="G8" s="8" t="n">
        <x:f>IF(3='合同排期'!H6,'合同排期'!K6*'合同排期'!P6,0)+IF(3='合同排期'!S6,'合同排期'!K6*'合同排期'!Q6,0)+IF(3='合同排期'!I6,'合同排期'!K6*'合同排期'!R6,0)+IF(3='合同排期'!J6,'合同排期'!L6,0)</x:f>
        <x:v>2.4</x:v>
      </x:c>
      <x:c r="H8" s="8" t="n">
        <x:f>IF(4='合同排期'!H6,'合同排期'!K6*'合同排期'!P6,0)+IF(4='合同排期'!S6,'合同排期'!K6*'合同排期'!Q6,0)+IF(4='合同排期'!I6,'合同排期'!K6*'合同排期'!R6,0)+IF(4='合同排期'!J6,'合同排期'!L6,0)</x:f>
        <x:v>5.6</x:v>
      </x:c>
      <x:c r="I8" s="8" t="n">
        <x:f>IF(5='合同排期'!H6,'合同排期'!K6*'合同排期'!P6,0)+IF(5='合同排期'!S6,'合同排期'!K6*'合同排期'!Q6,0)+IF(5='合同排期'!I6,'合同排期'!K6*'合同排期'!R6,0)+IF(5='合同排期'!J6,'合同排期'!L6,0)</x:f>
        <x:v>0</x:v>
      </x:c>
      <x:c r="J8" s="8" t="n">
        <x:f>IF(6='合同排期'!H6,'合同排期'!K6*'合同排期'!P6,0)+IF(6='合同排期'!S6,'合同排期'!K6*'合同排期'!Q6,0)+IF(6='合同排期'!I6,'合同排期'!K6*'合同排期'!R6,0)+IF(6='合同排期'!J6,'合同排期'!L6,0)</x:f>
        <x:v>0</x:v>
      </x:c>
      <x:c r="K8" s="8" t="n">
        <x:f>IF(7='合同排期'!H6,'合同排期'!K6*'合同排期'!P6,0)+IF(7='合同排期'!S6,'合同排期'!K6*'合同排期'!Q6,0)+IF(7='合同排期'!I6,'合同排期'!K6*'合同排期'!R6,0)+IF(7='合同排期'!J6,'合同排期'!L6,0)</x:f>
        <x:v>0</x:v>
      </x:c>
      <x:c r="L8" s="8" t="n">
        <x:f>IF(8='合同排期'!H6,'合同排期'!K6*'合同排期'!P6,0)+IF(8='合同排期'!S6,'合同排期'!K6*'合同排期'!Q6,0)+IF(8='合同排期'!I6,'合同排期'!K6*'合同排期'!R6,0)+IF(8='合同排期'!J6,'合同排期'!L6,0)</x:f>
        <x:v>0</x:v>
      </x:c>
      <x:c r="M8" s="8" t="n">
        <x:f>IF(9='合同排期'!H6,'合同排期'!K6*'合同排期'!P6,0)+IF(9='合同排期'!S6,'合同排期'!K6*'合同排期'!Q6,0)+IF(9='合同排期'!I6,'合同排期'!K6*'合同排期'!R6,0)+IF(9='合同排期'!J6,'合同排期'!L6,0)</x:f>
        <x:v>0</x:v>
      </x:c>
      <x:c r="N8" s="8" t="n">
        <x:f>IF(10='合同排期'!H6,'合同排期'!K6*'合同排期'!P6,0)+IF(10='合同排期'!S6,'合同排期'!K6*'合同排期'!Q6,0)+IF(10='合同排期'!I6,'合同排期'!K6*'合同排期'!R6,0)+IF(10='合同排期'!J6,'合同排期'!L6,0)</x:f>
        <x:v>0</x:v>
      </x:c>
      <x:c r="O8" s="8" t="n">
        <x:f>IF(11='合同排期'!H6,'合同排期'!K6*'合同排期'!P6,0)+IF(11='合同排期'!S6,'合同排期'!K6*'合同排期'!Q6,0)+IF(11='合同排期'!I6,'合同排期'!K6*'合同排期'!R6,0)+IF(11='合同排期'!J6,'合同排期'!L6,0)</x:f>
        <x:v>0</x:v>
      </x:c>
      <x:c r="P8" s="8" t="n">
        <x:f>IF(12='合同排期'!H6,'合同排期'!K6*'合同排期'!P6,0)+IF(12='合同排期'!S6,'合同排期'!K6*'合同排期'!Q6,0)+IF(12='合同排期'!I6,'合同排期'!K6*'合同排期'!R6,0)+IF(12='合同排期'!J6,'合同排期'!L6,0)</x:f>
        <x:v>0</x:v>
      </x:c>
      <x:c r="Q8" s="8" t="n">
        <x:f>IF(13='合同排期'!H6,'合同排期'!K6*'合同排期'!P6,0)+IF(13='合同排期'!S6,'合同排期'!K6*'合同排期'!Q6,0)+IF(13='合同排期'!I6,'合同排期'!K6*'合同排期'!R6,0)+IF(13='合同排期'!J6,'合同排期'!L6,0)</x:f>
        <x:v>0</x:v>
      </x:c>
      <x:c r="R8" s="8" t="n">
        <x:f>IF(14='合同排期'!H6,'合同排期'!K6*'合同排期'!P6,0)+IF(14='合同排期'!S6,'合同排期'!K6*'合同排期'!Q6,0)+IF(14='合同排期'!I6,'合同排期'!K6*'合同排期'!R6,0)+IF(14='合同排期'!J6,'合同排期'!L6,0)</x:f>
        <x:v>0</x:v>
      </x:c>
      <x:c r="S8" s="8" t="n">
        <x:f>IF(15='合同排期'!H6,'合同排期'!K6*'合同排期'!P6,0)+IF(15='合同排期'!S6,'合同排期'!K6*'合同排期'!Q6,0)+IF(15='合同排期'!I6,'合同排期'!K6*'合同排期'!R6,0)+IF(15='合同排期'!J6,'合同排期'!L6,0)</x:f>
        <x:v>0</x:v>
      </x:c>
      <x:c r="T8" s="8" t="n">
        <x:f>IF(16='合同排期'!H6,'合同排期'!K6*'合同排期'!P6,0)+IF(16='合同排期'!S6,'合同排期'!K6*'合同排期'!Q6,0)+IF(16='合同排期'!I6,'合同排期'!K6*'合同排期'!R6,0)+IF(16='合同排期'!J6,'合同排期'!L6,0)</x:f>
        <x:v>0</x:v>
      </x:c>
      <x:c r="U8" s="8" t="n">
        <x:f>IF(17='合同排期'!H6,'合同排期'!K6*'合同排期'!P6,0)+IF(17='合同排期'!S6,'合同排期'!K6*'合同排期'!Q6,0)+IF(17='合同排期'!I6,'合同排期'!K6*'合同排期'!R6,0)+IF(17='合同排期'!J6,'合同排期'!L6,0)</x:f>
        <x:v>0</x:v>
      </x:c>
      <x:c r="V8" s="8" t="n">
        <x:f>IF(18='合同排期'!H6,'合同排期'!K6*'合同排期'!P6,0)+IF(18='合同排期'!S6,'合同排期'!K6*'合同排期'!Q6,0)+IF(18='合同排期'!I6,'合同排期'!K6*'合同排期'!R6,0)+IF(18='合同排期'!J6,'合同排期'!L6,0)</x:f>
        <x:v>0</x:v>
      </x:c>
      <x:c r="W8" s="8" t="n">
        <x:f>IF(19='合同排期'!H6,'合同排期'!K6*'合同排期'!P6,0)+IF(19='合同排期'!S6,'合同排期'!K6*'合同排期'!Q6,0)+IF(19='合同排期'!I6,'合同排期'!K6*'合同排期'!R6,0)+IF(19='合同排期'!J6,'合同排期'!L6,0)</x:f>
        <x:v>0</x:v>
      </x:c>
      <x:c r="X8" s="8" t="n">
        <x:f>IF(20='合同排期'!H6,'合同排期'!K6*'合同排期'!P6,0)+IF(20='合同排期'!S6,'合同排期'!K6*'合同排期'!Q6,0)+IF(20='合同排期'!I6,'合同排期'!K6*'合同排期'!R6,0)+IF(20='合同排期'!J6,'合同排期'!L6,0)</x:f>
        <x:v>0</x:v>
      </x:c>
      <x:c r="Y8" s="8" t="n">
        <x:f>IF(21='合同排期'!H6,'合同排期'!K6*'合同排期'!P6,0)+IF(21='合同排期'!S6,'合同排期'!K6*'合同排期'!Q6,0)+IF(21='合同排期'!I6,'合同排期'!K6*'合同排期'!R6,0)+IF(21='合同排期'!J6,'合同排期'!L6,0)</x:f>
        <x:v>0</x:v>
      </x:c>
      <x:c r="Z8" s="8" t="n">
        <x:f>IF(22='合同排期'!H6,'合同排期'!K6*'合同排期'!P6,0)+IF(22='合同排期'!S6,'合同排期'!K6*'合同排期'!Q6,0)+IF(22='合同排期'!I6,'合同排期'!K6*'合同排期'!R6,0)+IF(22='合同排期'!J6,'合同排期'!L6,0)</x:f>
        <x:v>0</x:v>
      </x:c>
      <x:c r="AA8" s="8" t="n">
        <x:f>IF(23='合同排期'!H6,'合同排期'!K6*'合同排期'!P6,0)+IF(23='合同排期'!S6,'合同排期'!K6*'合同排期'!Q6,0)+IF(23='合同排期'!I6,'合同排期'!K6*'合同排期'!R6,0)+IF(23='合同排期'!J6,'合同排期'!L6,0)</x:f>
        <x:v>0</x:v>
      </x:c>
      <x:c r="AB8" s="8" t="n">
        <x:f>IF(24='合同排期'!H6,'合同排期'!K6*'合同排期'!P6,0)+IF(24='合同排期'!S6,'合同排期'!K6*'合同排期'!Q6,0)+IF(24='合同排期'!I6,'合同排期'!K6*'合同排期'!R6,0)+IF(24='合同排期'!J6,'合同排期'!L6,0)</x:f>
        <x:v>0</x:v>
      </x:c>
    </x:row>
    <x:row r="9" ht="23" customHeight="1">
      <x:c r="A9" s="1"/>
      <x:c r="B9" s="1"/>
      <x:c r="C9" s="1" t="str">
        <x:v>P01</x:v>
      </x:c>
      <x:c r="D9" s="1" t="str">
        <x:v>回款</x:v>
      </x:c>
      <x:c r="E9" s="8" t="n">
        <x:f>IF(1&gt;'假设'!D27,INDEX($E8:$AB8,1,1-'假设'!D27),0)</x:f>
        <x:v>0</x:v>
      </x:c>
      <x:c r="F9" s="8" t="n">
        <x:f>IF(2&gt;'假设'!D27,INDEX($E8:$AB8,1,2-'假设'!D27),0)</x:f>
        <x:v>0</x:v>
      </x:c>
      <x:c r="G9" s="8" t="n">
        <x:f>IF(3&gt;'假设'!D27,INDEX($E8:$AB8,1,3-'假设'!D27),0)</x:f>
        <x:v>0</x:v>
      </x:c>
      <x:c r="H9" s="8" t="n">
        <x:f>IF(4&gt;'假设'!D27,INDEX($E8:$AB8,1,4-'假设'!D27),0)</x:f>
        <x:v>2.4</x:v>
      </x:c>
      <x:c r="I9" s="8" t="n">
        <x:f>IF(5&gt;'假设'!D27,INDEX($E8:$AB8,1,5-'假设'!D27),0)</x:f>
        <x:v>5.6</x:v>
      </x:c>
      <x:c r="J9" s="8" t="n">
        <x:f>IF(6&gt;'假设'!D27,INDEX($E8:$AB8,1,6-'假设'!D27),0)</x:f>
        <x:v>0</x:v>
      </x:c>
      <x:c r="K9" s="8" t="n">
        <x:f>IF(7&gt;'假设'!D27,INDEX($E8:$AB8,1,7-'假设'!D27),0)</x:f>
        <x:v>0</x:v>
      </x:c>
      <x:c r="L9" s="8" t="n">
        <x:f>IF(8&gt;'假设'!D27,INDEX($E8:$AB8,1,8-'假设'!D27),0)</x:f>
        <x:v>0</x:v>
      </x:c>
      <x:c r="M9" s="8" t="n">
        <x:f>IF(9&gt;'假设'!D27,INDEX($E8:$AB8,1,9-'假设'!D27),0)</x:f>
        <x:v>0</x:v>
      </x:c>
      <x:c r="N9" s="8" t="n">
        <x:f>IF(10&gt;'假设'!D27,INDEX($E8:$AB8,1,10-'假设'!D27),0)</x:f>
        <x:v>0</x:v>
      </x:c>
      <x:c r="O9" s="8" t="n">
        <x:f>IF(11&gt;'假设'!D27,INDEX($E8:$AB8,1,11-'假设'!D27),0)</x:f>
        <x:v>0</x:v>
      </x:c>
      <x:c r="P9" s="8" t="n">
        <x:f>IF(12&gt;'假设'!D27,INDEX($E8:$AB8,1,12-'假设'!D27),0)</x:f>
        <x:v>0</x:v>
      </x:c>
      <x:c r="Q9" s="8" t="n">
        <x:f>IF(13&gt;'假设'!D27,INDEX($E8:$AB8,1,13-'假设'!D27),0)</x:f>
        <x:v>0</x:v>
      </x:c>
      <x:c r="R9" s="8" t="n">
        <x:f>IF(14&gt;'假设'!D27,INDEX($E8:$AB8,1,14-'假设'!D27),0)</x:f>
        <x:v>0</x:v>
      </x:c>
      <x:c r="S9" s="8" t="n">
        <x:f>IF(15&gt;'假设'!D27,INDEX($E8:$AB8,1,15-'假设'!D27),0)</x:f>
        <x:v>0</x:v>
      </x:c>
      <x:c r="T9" s="8" t="n">
        <x:f>IF(16&gt;'假设'!D27,INDEX($E8:$AB8,1,16-'假设'!D27),0)</x:f>
        <x:v>0</x:v>
      </x:c>
      <x:c r="U9" s="8" t="n">
        <x:f>IF(17&gt;'假设'!D27,INDEX($E8:$AB8,1,17-'假设'!D27),0)</x:f>
        <x:v>0</x:v>
      </x:c>
      <x:c r="V9" s="8" t="n">
        <x:f>IF(18&gt;'假设'!D27,INDEX($E8:$AB8,1,18-'假设'!D27),0)</x:f>
        <x:v>0</x:v>
      </x:c>
      <x:c r="W9" s="8" t="n">
        <x:f>IF(19&gt;'假设'!D27,INDEX($E8:$AB8,1,19-'假设'!D27),0)</x:f>
        <x:v>0</x:v>
      </x:c>
      <x:c r="X9" s="8" t="n">
        <x:f>IF(20&gt;'假设'!D27,INDEX($E8:$AB8,1,20-'假设'!D27),0)</x:f>
        <x:v>0</x:v>
      </x:c>
      <x:c r="Y9" s="8" t="n">
        <x:f>IF(21&gt;'假设'!D27,INDEX($E8:$AB8,1,21-'假设'!D27),0)</x:f>
        <x:v>0</x:v>
      </x:c>
      <x:c r="Z9" s="8" t="n">
        <x:f>IF(22&gt;'假设'!D27,INDEX($E8:$AB8,1,22-'假设'!D27),0)</x:f>
        <x:v>0</x:v>
      </x:c>
      <x:c r="AA9" s="8" t="n">
        <x:f>IF(23&gt;'假设'!D27,INDEX($E8:$AB8,1,23-'假设'!D27),0)</x:f>
        <x:v>0</x:v>
      </x:c>
      <x:c r="AB9" s="8" t="n">
        <x:f>IF(24&gt;'假设'!D27,INDEX($E8:$AB8,1,24-'假设'!D27),0)</x:f>
        <x:v>0</x:v>
      </x:c>
    </x:row>
    <x:row r="10" ht="23" customHeight="1">
      <x:c r="A10" s="1"/>
      <x:c r="B10" s="1"/>
      <x:c r="C10" s="1" t="str">
        <x:v>P01</x:v>
      </x:c>
      <x:c r="D10" s="1" t="str">
        <x:v>直接损益成本</x:v>
      </x:c>
      <x:c r="E10" s="8" t="n">
        <x:f>IF(1='合同排期'!I6,'合同排期'!N6,0)+IF(AND(1&gt;='合同排期'!J6,1&lt;'合同排期'!J6+12),'合同排期'!O6,0)+E6*'假设'!D47</x:f>
        <x:v>0</x:v>
      </x:c>
      <x:c r="F10" s="8" t="n">
        <x:f>IF(2='合同排期'!I6,'合同排期'!N6,0)+IF(AND(2&gt;='合同排期'!J6,2&lt;'合同排期'!J6+12),'合同排期'!O6,0)+F6*'假设'!D47</x:f>
        <x:v>0</x:v>
      </x:c>
      <x:c r="G10" s="8" t="n">
        <x:f>IF(3='合同排期'!I6,'合同排期'!N6,0)+IF(AND(3&gt;='合同排期'!J6,3&lt;'合同排期'!J6+12),'合同排期'!O6,0)+G6*'假设'!D47</x:f>
        <x:v>0.4</x:v>
      </x:c>
      <x:c r="H10" s="8" t="n">
        <x:f>IF(4='合同排期'!I6,'合同排期'!N6,0)+IF(AND(4&gt;='合同排期'!J6,4&lt;'合同排期'!J6+12),'合同排期'!O6,0)+H6*'假设'!D47</x:f>
        <x:v>3.7</x:v>
      </x:c>
      <x:c r="I10" s="8" t="n">
        <x:f>IF(5='合同排期'!I6,'合同排期'!N6,0)+IF(AND(5&gt;='合同排期'!J6,5&lt;'合同排期'!J6+12),'合同排期'!O6,0)+I6*'假设'!D47</x:f>
        <x:v>0</x:v>
      </x:c>
      <x:c r="J10" s="8" t="n">
        <x:f>IF(6='合同排期'!I6,'合同排期'!N6,0)+IF(AND(6&gt;='合同排期'!J6,6&lt;'合同排期'!J6+12),'合同排期'!O6,0)+J6*'假设'!D47</x:f>
        <x:v>0</x:v>
      </x:c>
      <x:c r="K10" s="8" t="n">
        <x:f>IF(7='合同排期'!I6,'合同排期'!N6,0)+IF(AND(7&gt;='合同排期'!J6,7&lt;'合同排期'!J6+12),'合同排期'!O6,0)+K6*'假设'!D47</x:f>
        <x:v>0</x:v>
      </x:c>
      <x:c r="L10" s="8" t="n">
        <x:f>IF(8='合同排期'!I6,'合同排期'!N6,0)+IF(AND(8&gt;='合同排期'!J6,8&lt;'合同排期'!J6+12),'合同排期'!O6,0)+L6*'假设'!D47</x:f>
        <x:v>0</x:v>
      </x:c>
      <x:c r="M10" s="8" t="n">
        <x:f>IF(9='合同排期'!I6,'合同排期'!N6,0)+IF(AND(9&gt;='合同排期'!J6,9&lt;'合同排期'!J6+12),'合同排期'!O6,0)+M6*'假设'!D47</x:f>
        <x:v>0</x:v>
      </x:c>
      <x:c r="N10" s="8" t="n">
        <x:f>IF(10='合同排期'!I6,'合同排期'!N6,0)+IF(AND(10&gt;='合同排期'!J6,10&lt;'合同排期'!J6+12),'合同排期'!O6,0)+N6*'假设'!D47</x:f>
        <x:v>0</x:v>
      </x:c>
      <x:c r="O10" s="8" t="n">
        <x:f>IF(11='合同排期'!I6,'合同排期'!N6,0)+IF(AND(11&gt;='合同排期'!J6,11&lt;'合同排期'!J6+12),'合同排期'!O6,0)+O6*'假设'!D47</x:f>
        <x:v>0</x:v>
      </x:c>
      <x:c r="P10" s="8" t="n">
        <x:f>IF(12='合同排期'!I6,'合同排期'!N6,0)+IF(AND(12&gt;='合同排期'!J6,12&lt;'合同排期'!J6+12),'合同排期'!O6,0)+P6*'假设'!D47</x:f>
        <x:v>0</x:v>
      </x:c>
      <x:c r="Q10" s="8" t="n">
        <x:f>IF(13='合同排期'!I6,'合同排期'!N6,0)+IF(AND(13&gt;='合同排期'!J6,13&lt;'合同排期'!J6+12),'合同排期'!O6,0)+Q6*'假设'!D47</x:f>
        <x:v>0</x:v>
      </x:c>
      <x:c r="R10" s="8" t="n">
        <x:f>IF(14='合同排期'!I6,'合同排期'!N6,0)+IF(AND(14&gt;='合同排期'!J6,14&lt;'合同排期'!J6+12),'合同排期'!O6,0)+R6*'假设'!D47</x:f>
        <x:v>0</x:v>
      </x:c>
      <x:c r="S10" s="8" t="n">
        <x:f>IF(15='合同排期'!I6,'合同排期'!N6,0)+IF(AND(15&gt;='合同排期'!J6,15&lt;'合同排期'!J6+12),'合同排期'!O6,0)+S6*'假设'!D47</x:f>
        <x:v>0</x:v>
      </x:c>
      <x:c r="T10" s="8" t="n">
        <x:f>IF(16='合同排期'!I6,'合同排期'!N6,0)+IF(AND(16&gt;='合同排期'!J6,16&lt;'合同排期'!J6+12),'合同排期'!O6,0)+T6*'假设'!D47</x:f>
        <x:v>0</x:v>
      </x:c>
      <x:c r="U10" s="8" t="n">
        <x:f>IF(17='合同排期'!I6,'合同排期'!N6,0)+IF(AND(17&gt;='合同排期'!J6,17&lt;'合同排期'!J6+12),'合同排期'!O6,0)+U6*'假设'!D47</x:f>
        <x:v>0</x:v>
      </x:c>
      <x:c r="V10" s="8" t="n">
        <x:f>IF(18='合同排期'!I6,'合同排期'!N6,0)+IF(AND(18&gt;='合同排期'!J6,18&lt;'合同排期'!J6+12),'合同排期'!O6,0)+V6*'假设'!D47</x:f>
        <x:v>0</x:v>
      </x:c>
      <x:c r="W10" s="8" t="n">
        <x:f>IF(19='合同排期'!I6,'合同排期'!N6,0)+IF(AND(19&gt;='合同排期'!J6,19&lt;'合同排期'!J6+12),'合同排期'!O6,0)+W6*'假设'!D47</x:f>
        <x:v>0</x:v>
      </x:c>
      <x:c r="X10" s="8" t="n">
        <x:f>IF(20='合同排期'!I6,'合同排期'!N6,0)+IF(AND(20&gt;='合同排期'!J6,20&lt;'合同排期'!J6+12),'合同排期'!O6,0)+X6*'假设'!D47</x:f>
        <x:v>0</x:v>
      </x:c>
      <x:c r="Y10" s="8" t="n">
        <x:f>IF(21='合同排期'!I6,'合同排期'!N6,0)+IF(AND(21&gt;='合同排期'!J6,21&lt;'合同排期'!J6+12),'合同排期'!O6,0)+Y6*'假设'!D47</x:f>
        <x:v>0</x:v>
      </x:c>
      <x:c r="Z10" s="8" t="n">
        <x:f>IF(22='合同排期'!I6,'合同排期'!N6,0)+IF(AND(22&gt;='合同排期'!J6,22&lt;'合同排期'!J6+12),'合同排期'!O6,0)+Z6*'假设'!D47</x:f>
        <x:v>0</x:v>
      </x:c>
      <x:c r="AA10" s="8" t="n">
        <x:f>IF(23='合同排期'!I6,'合同排期'!N6,0)+IF(AND(23&gt;='合同排期'!J6,23&lt;'合同排期'!J6+12),'合同排期'!O6,0)+AA6*'假设'!D47</x:f>
        <x:v>0</x:v>
      </x:c>
      <x:c r="AB10" s="8" t="n">
        <x:f>IF(24='合同排期'!I6,'合同排期'!N6,0)+IF(AND(24&gt;='合同排期'!J6,24&lt;'合同排期'!J6+12),'合同排期'!O6,0)+AB6*'假设'!D47</x:f>
        <x:v>0</x:v>
      </x:c>
    </x:row>
    <x:row r="11" ht="23" customHeight="1">
      <x:c r="A11" s="1"/>
      <x:c r="B11" s="1"/>
      <x:c r="C11" s="1" t="str">
        <x:v>P01</x:v>
      </x:c>
      <x:c r="D11" s="1" t="str">
        <x:v>直接现金成本</x:v>
      </x:c>
      <x:c r="E11" s="8" t="n">
        <x:f>IF(AND(1&gt;='合同排期'!H6,1&lt;='合同排期'!I6),'合同排期'!N6/('合同排期'!I6-'合同排期'!H6+1),0)+IF(AND(1&gt;='合同排期'!J6,1&lt;'合同排期'!J6+12),'合同排期'!O6,0)+E9*'假设'!D47</x:f>
        <x:v>0</x:v>
      </x:c>
      <x:c r="F11" s="8" t="n">
        <x:f>IF(AND(2&gt;='合同排期'!H6,2&lt;='合同排期'!I6),'合同排期'!N6/('合同排期'!I6-'合同排期'!H6+1),0)+IF(AND(2&gt;='合同排期'!J6,2&lt;'合同排期'!J6+12),'合同排期'!O6,0)+F9*'假设'!D47</x:f>
        <x:v>0</x:v>
      </x:c>
      <x:c r="G11" s="8" t="n">
        <x:f>IF(AND(3&gt;='合同排期'!H6,3&lt;='合同排期'!I6),'合同排期'!N6/('合同排期'!I6-'合同排期'!H6+1),0)+IF(AND(3&gt;='合同排期'!J6,3&lt;'合同排期'!J6+12),'合同排期'!O6,0)+G9*'假设'!D47</x:f>
        <x:v>1.85</x:v>
      </x:c>
      <x:c r="H11" s="8" t="n">
        <x:f>IF(AND(4&gt;='合同排期'!H6,4&lt;='合同排期'!I6),'合同排期'!N6/('合同排期'!I6-'合同排期'!H6+1),0)+IF(AND(4&gt;='合同排期'!J6,4&lt;'合同排期'!J6+12),'合同排期'!O6,0)+H9*'假设'!D47</x:f>
        <x:v>1.9700000000000002</x:v>
      </x:c>
      <x:c r="I11" s="8" t="n">
        <x:f>IF(AND(5&gt;='合同排期'!H6,5&lt;='合同排期'!I6),'合同排期'!N6/('合同排期'!I6-'合同排期'!H6+1),0)+IF(AND(5&gt;='合同排期'!J6,5&lt;'合同排期'!J6+12),'合同排期'!O6,0)+I9*'假设'!D47</x:f>
        <x:v>0.27999999999999997</x:v>
      </x:c>
      <x:c r="J11" s="8" t="n">
        <x:f>IF(AND(6&gt;='合同排期'!H6,6&lt;='合同排期'!I6),'合同排期'!N6/('合同排期'!I6-'合同排期'!H6+1),0)+IF(AND(6&gt;='合同排期'!J6,6&lt;'合同排期'!J6+12),'合同排期'!O6,0)+J9*'假设'!D47</x:f>
        <x:v>0</x:v>
      </x:c>
      <x:c r="K11" s="8" t="n">
        <x:f>IF(AND(7&gt;='合同排期'!H6,7&lt;='合同排期'!I6),'合同排期'!N6/('合同排期'!I6-'合同排期'!H6+1),0)+IF(AND(7&gt;='合同排期'!J6,7&lt;'合同排期'!J6+12),'合同排期'!O6,0)+K9*'假设'!D47</x:f>
        <x:v>0</x:v>
      </x:c>
      <x:c r="L11" s="8" t="n">
        <x:f>IF(AND(8&gt;='合同排期'!H6,8&lt;='合同排期'!I6),'合同排期'!N6/('合同排期'!I6-'合同排期'!H6+1),0)+IF(AND(8&gt;='合同排期'!J6,8&lt;'合同排期'!J6+12),'合同排期'!O6,0)+L9*'假设'!D47</x:f>
        <x:v>0</x:v>
      </x:c>
      <x:c r="M11" s="8" t="n">
        <x:f>IF(AND(9&gt;='合同排期'!H6,9&lt;='合同排期'!I6),'合同排期'!N6/('合同排期'!I6-'合同排期'!H6+1),0)+IF(AND(9&gt;='合同排期'!J6,9&lt;'合同排期'!J6+12),'合同排期'!O6,0)+M9*'假设'!D47</x:f>
        <x:v>0</x:v>
      </x:c>
      <x:c r="N11" s="8" t="n">
        <x:f>IF(AND(10&gt;='合同排期'!H6,10&lt;='合同排期'!I6),'合同排期'!N6/('合同排期'!I6-'合同排期'!H6+1),0)+IF(AND(10&gt;='合同排期'!J6,10&lt;'合同排期'!J6+12),'合同排期'!O6,0)+N9*'假设'!D47</x:f>
        <x:v>0</x:v>
      </x:c>
      <x:c r="O11" s="8" t="n">
        <x:f>IF(AND(11&gt;='合同排期'!H6,11&lt;='合同排期'!I6),'合同排期'!N6/('合同排期'!I6-'合同排期'!H6+1),0)+IF(AND(11&gt;='合同排期'!J6,11&lt;'合同排期'!J6+12),'合同排期'!O6,0)+O9*'假设'!D47</x:f>
        <x:v>0</x:v>
      </x:c>
      <x:c r="P11" s="8" t="n">
        <x:f>IF(AND(12&gt;='合同排期'!H6,12&lt;='合同排期'!I6),'合同排期'!N6/('合同排期'!I6-'合同排期'!H6+1),0)+IF(AND(12&gt;='合同排期'!J6,12&lt;'合同排期'!J6+12),'合同排期'!O6,0)+P9*'假设'!D47</x:f>
        <x:v>0</x:v>
      </x:c>
      <x:c r="Q11" s="8" t="n">
        <x:f>IF(AND(13&gt;='合同排期'!H6,13&lt;='合同排期'!I6),'合同排期'!N6/('合同排期'!I6-'合同排期'!H6+1),0)+IF(AND(13&gt;='合同排期'!J6,13&lt;'合同排期'!J6+12),'合同排期'!O6,0)+Q9*'假设'!D47</x:f>
        <x:v>0</x:v>
      </x:c>
      <x:c r="R11" s="8" t="n">
        <x:f>IF(AND(14&gt;='合同排期'!H6,14&lt;='合同排期'!I6),'合同排期'!N6/('合同排期'!I6-'合同排期'!H6+1),0)+IF(AND(14&gt;='合同排期'!J6,14&lt;'合同排期'!J6+12),'合同排期'!O6,0)+R9*'假设'!D47</x:f>
        <x:v>0</x:v>
      </x:c>
      <x:c r="S11" s="8" t="n">
        <x:f>IF(AND(15&gt;='合同排期'!H6,15&lt;='合同排期'!I6),'合同排期'!N6/('合同排期'!I6-'合同排期'!H6+1),0)+IF(AND(15&gt;='合同排期'!J6,15&lt;'合同排期'!J6+12),'合同排期'!O6,0)+S9*'假设'!D47</x:f>
        <x:v>0</x:v>
      </x:c>
      <x:c r="T11" s="8" t="n">
        <x:f>IF(AND(16&gt;='合同排期'!H6,16&lt;='合同排期'!I6),'合同排期'!N6/('合同排期'!I6-'合同排期'!H6+1),0)+IF(AND(16&gt;='合同排期'!J6,16&lt;'合同排期'!J6+12),'合同排期'!O6,0)+T9*'假设'!D47</x:f>
        <x:v>0</x:v>
      </x:c>
      <x:c r="U11" s="8" t="n">
        <x:f>IF(AND(17&gt;='合同排期'!H6,17&lt;='合同排期'!I6),'合同排期'!N6/('合同排期'!I6-'合同排期'!H6+1),0)+IF(AND(17&gt;='合同排期'!J6,17&lt;'合同排期'!J6+12),'合同排期'!O6,0)+U9*'假设'!D47</x:f>
        <x:v>0</x:v>
      </x:c>
      <x:c r="V11" s="8" t="n">
        <x:f>IF(AND(18&gt;='合同排期'!H6,18&lt;='合同排期'!I6),'合同排期'!N6/('合同排期'!I6-'合同排期'!H6+1),0)+IF(AND(18&gt;='合同排期'!J6,18&lt;'合同排期'!J6+12),'合同排期'!O6,0)+V9*'假设'!D47</x:f>
        <x:v>0</x:v>
      </x:c>
      <x:c r="W11" s="8" t="n">
        <x:f>IF(AND(19&gt;='合同排期'!H6,19&lt;='合同排期'!I6),'合同排期'!N6/('合同排期'!I6-'合同排期'!H6+1),0)+IF(AND(19&gt;='合同排期'!J6,19&lt;'合同排期'!J6+12),'合同排期'!O6,0)+W9*'假设'!D47</x:f>
        <x:v>0</x:v>
      </x:c>
      <x:c r="X11" s="8" t="n">
        <x:f>IF(AND(20&gt;='合同排期'!H6,20&lt;='合同排期'!I6),'合同排期'!N6/('合同排期'!I6-'合同排期'!H6+1),0)+IF(AND(20&gt;='合同排期'!J6,20&lt;'合同排期'!J6+12),'合同排期'!O6,0)+X9*'假设'!D47</x:f>
        <x:v>0</x:v>
      </x:c>
      <x:c r="Y11" s="8" t="n">
        <x:f>IF(AND(21&gt;='合同排期'!H6,21&lt;='合同排期'!I6),'合同排期'!N6/('合同排期'!I6-'合同排期'!H6+1),0)+IF(AND(21&gt;='合同排期'!J6,21&lt;'合同排期'!J6+12),'合同排期'!O6,0)+Y9*'假设'!D47</x:f>
        <x:v>0</x:v>
      </x:c>
      <x:c r="Z11" s="8" t="n">
        <x:f>IF(AND(22&gt;='合同排期'!H6,22&lt;='合同排期'!I6),'合同排期'!N6/('合同排期'!I6-'合同排期'!H6+1),0)+IF(AND(22&gt;='合同排期'!J6,22&lt;'合同排期'!J6+12),'合同排期'!O6,0)+Z9*'假设'!D47</x:f>
        <x:v>0</x:v>
      </x:c>
      <x:c r="AA11" s="8" t="n">
        <x:f>IF(AND(23&gt;='合同排期'!H6,23&lt;='合同排期'!I6),'合同排期'!N6/('合同排期'!I6-'合同排期'!H6+1),0)+IF(AND(23&gt;='合同排期'!J6,23&lt;'合同排期'!J6+12),'合同排期'!O6,0)+AA9*'假设'!D47</x:f>
        <x:v>0</x:v>
      </x:c>
      <x:c r="AB11" s="8" t="n">
        <x:f>IF(AND(24&gt;='合同排期'!H6,24&lt;='合同排期'!I6),'合同排期'!N6/('合同排期'!I6-'合同排期'!H6+1),0)+IF(AND(24&gt;='合同排期'!J6,24&lt;'合同排期'!J6+12),'合同排期'!O6,0)+AB9*'假设'!D47</x:f>
        <x:v>0</x:v>
      </x:c>
    </x:row>
    <x:row r="12" ht="23" customHeight="1">
      <x:c r="A12" s="1"/>
      <x:c r="B12" s="1"/>
      <x:c r="C12" s="1" t="str">
        <x:v>P01</x:v>
      </x:c>
      <x:c r="D12" s="1" t="str">
        <x:v>工程交付人月</x:v>
      </x:c>
      <x:c r="E12" s="8" t="n">
        <x:f>IF(AND(1&gt;='合同排期'!H6,1&lt;='合同排期'!I6),'合同排期'!M6/('合同排期'!I6-'合同排期'!H6+1),0)</x:f>
        <x:v>0</x:v>
      </x:c>
      <x:c r="F12" s="8" t="n">
        <x:f>IF(AND(2&gt;='合同排期'!H6,2&lt;='合同排期'!I6),'合同排期'!M6/('合同排期'!I6-'合同排期'!H6+1),0)</x:f>
        <x:v>0</x:v>
      </x:c>
      <x:c r="G12" s="8" t="n">
        <x:f>IF(AND(3&gt;='合同排期'!H6,3&lt;='合同排期'!I6),'合同排期'!M6/('合同排期'!I6-'合同排期'!H6+1),0)</x:f>
        <x:v>1.5</x:v>
      </x:c>
      <x:c r="H12" s="8" t="n">
        <x:f>IF(AND(4&gt;='合同排期'!H6,4&lt;='合同排期'!I6),'合同排期'!M6/('合同排期'!I6-'合同排期'!H6+1),0)</x:f>
        <x:v>1.5</x:v>
      </x:c>
      <x:c r="I12" s="8" t="n">
        <x:f>IF(AND(5&gt;='合同排期'!H6,5&lt;='合同排期'!I6),'合同排期'!M6/('合同排期'!I6-'合同排期'!H6+1),0)</x:f>
        <x:v>0</x:v>
      </x:c>
      <x:c r="J12" s="8" t="n">
        <x:f>IF(AND(6&gt;='合同排期'!H6,6&lt;='合同排期'!I6),'合同排期'!M6/('合同排期'!I6-'合同排期'!H6+1),0)</x:f>
        <x:v>0</x:v>
      </x:c>
      <x:c r="K12" s="8" t="n">
        <x:f>IF(AND(7&gt;='合同排期'!H6,7&lt;='合同排期'!I6),'合同排期'!M6/('合同排期'!I6-'合同排期'!H6+1),0)</x:f>
        <x:v>0</x:v>
      </x:c>
      <x:c r="L12" s="8" t="n">
        <x:f>IF(AND(8&gt;='合同排期'!H6,8&lt;='合同排期'!I6),'合同排期'!M6/('合同排期'!I6-'合同排期'!H6+1),0)</x:f>
        <x:v>0</x:v>
      </x:c>
      <x:c r="M12" s="8" t="n">
        <x:f>IF(AND(9&gt;='合同排期'!H6,9&lt;='合同排期'!I6),'合同排期'!M6/('合同排期'!I6-'合同排期'!H6+1),0)</x:f>
        <x:v>0</x:v>
      </x:c>
      <x:c r="N12" s="8" t="n">
        <x:f>IF(AND(10&gt;='合同排期'!H6,10&lt;='合同排期'!I6),'合同排期'!M6/('合同排期'!I6-'合同排期'!H6+1),0)</x:f>
        <x:v>0</x:v>
      </x:c>
      <x:c r="O12" s="8" t="n">
        <x:f>IF(AND(11&gt;='合同排期'!H6,11&lt;='合同排期'!I6),'合同排期'!M6/('合同排期'!I6-'合同排期'!H6+1),0)</x:f>
        <x:v>0</x:v>
      </x:c>
      <x:c r="P12" s="8" t="n">
        <x:f>IF(AND(12&gt;='合同排期'!H6,12&lt;='合同排期'!I6),'合同排期'!M6/('合同排期'!I6-'合同排期'!H6+1),0)</x:f>
        <x:v>0</x:v>
      </x:c>
      <x:c r="Q12" s="8" t="n">
        <x:f>IF(AND(13&gt;='合同排期'!H6,13&lt;='合同排期'!I6),'合同排期'!M6/('合同排期'!I6-'合同排期'!H6+1),0)</x:f>
        <x:v>0</x:v>
      </x:c>
      <x:c r="R12" s="8" t="n">
        <x:f>IF(AND(14&gt;='合同排期'!H6,14&lt;='合同排期'!I6),'合同排期'!M6/('合同排期'!I6-'合同排期'!H6+1),0)</x:f>
        <x:v>0</x:v>
      </x:c>
      <x:c r="S12" s="8" t="n">
        <x:f>IF(AND(15&gt;='合同排期'!H6,15&lt;='合同排期'!I6),'合同排期'!M6/('合同排期'!I6-'合同排期'!H6+1),0)</x:f>
        <x:v>0</x:v>
      </x:c>
      <x:c r="T12" s="8" t="n">
        <x:f>IF(AND(16&gt;='合同排期'!H6,16&lt;='合同排期'!I6),'合同排期'!M6/('合同排期'!I6-'合同排期'!H6+1),0)</x:f>
        <x:v>0</x:v>
      </x:c>
      <x:c r="U12" s="8" t="n">
        <x:f>IF(AND(17&gt;='合同排期'!H6,17&lt;='合同排期'!I6),'合同排期'!M6/('合同排期'!I6-'合同排期'!H6+1),0)</x:f>
        <x:v>0</x:v>
      </x:c>
      <x:c r="V12" s="8" t="n">
        <x:f>IF(AND(18&gt;='合同排期'!H6,18&lt;='合同排期'!I6),'合同排期'!M6/('合同排期'!I6-'合同排期'!H6+1),0)</x:f>
        <x:v>0</x:v>
      </x:c>
      <x:c r="W12" s="8" t="n">
        <x:f>IF(AND(19&gt;='合同排期'!H6,19&lt;='合同排期'!I6),'合同排期'!M6/('合同排期'!I6-'合同排期'!H6+1),0)</x:f>
        <x:v>0</x:v>
      </x:c>
      <x:c r="X12" s="8" t="n">
        <x:f>IF(AND(20&gt;='合同排期'!H6,20&lt;='合同排期'!I6),'合同排期'!M6/('合同排期'!I6-'合同排期'!H6+1),0)</x:f>
        <x:v>0</x:v>
      </x:c>
      <x:c r="Y12" s="8" t="n">
        <x:f>IF(AND(21&gt;='合同排期'!H6,21&lt;='合同排期'!I6),'合同排期'!M6/('合同排期'!I6-'合同排期'!H6+1),0)</x:f>
        <x:v>0</x:v>
      </x:c>
      <x:c r="Z12" s="8" t="n">
        <x:f>IF(AND(22&gt;='合同排期'!H6,22&lt;='合同排期'!I6),'合同排期'!M6/('合同排期'!I6-'合同排期'!H6+1),0)</x:f>
        <x:v>0</x:v>
      </x:c>
      <x:c r="AA12" s="8" t="n">
        <x:f>IF(AND(23&gt;='合同排期'!H6,23&lt;='合同排期'!I6),'合同排期'!M6/('合同排期'!I6-'合同排期'!H6+1),0)</x:f>
        <x:v>0</x:v>
      </x:c>
      <x:c r="AB12" s="8" t="n">
        <x:f>IF(AND(24&gt;='合同排期'!H6,24&lt;='合同排期'!I6),'合同排期'!M6/('合同排期'!I6-'合同排期'!H6+1),0)</x:f>
        <x:v>0</x:v>
      </x:c>
    </x:row>
    <x:row r="13" ht="23" customHeight="1">
      <x:c r="A13" s="1"/>
      <x:c r="B13" s="1"/>
      <x:c r="C13" s="1" t="str">
        <x:v>P01</x:v>
      </x:c>
      <x:c r="D13" s="1" t="str">
        <x:v>生效ARR</x:v>
      </x:c>
      <x:c r="E13" s="8" t="n">
        <x:f>IF(AND(1&gt;='合同排期'!J6,1&lt;'合同排期'!J6+12),'合同排期'!L6,0)</x:f>
        <x:v>0</x:v>
      </x:c>
      <x:c r="F13" s="8" t="n">
        <x:f>IF(AND(2&gt;='合同排期'!J6,2&lt;'合同排期'!J6+12),'合同排期'!L6,0)</x:f>
        <x:v>0</x:v>
      </x:c>
      <x:c r="G13" s="8" t="n">
        <x:f>IF(AND(3&gt;='合同排期'!J6,3&lt;'合同排期'!J6+12),'合同排期'!L6,0)</x:f>
        <x:v>0</x:v>
      </x:c>
      <x:c r="H13" s="8" t="n">
        <x:f>IF(AND(4&gt;='合同排期'!J6,4&lt;'合同排期'!J6+12),'合同排期'!L6,0)</x:f>
        <x:v>0</x:v>
      </x:c>
      <x:c r="I13" s="8" t="n">
        <x:f>IF(AND(5&gt;='合同排期'!J6,5&lt;'合同排期'!J6+12),'合同排期'!L6,0)</x:f>
        <x:v>0</x:v>
      </x:c>
      <x:c r="J13" s="8" t="n">
        <x:f>IF(AND(6&gt;='合同排期'!J6,6&lt;'合同排期'!J6+12),'合同排期'!L6,0)</x:f>
        <x:v>0</x:v>
      </x:c>
      <x:c r="K13" s="8" t="n">
        <x:f>IF(AND(7&gt;='合同排期'!J6,7&lt;'合同排期'!J6+12),'合同排期'!L6,0)</x:f>
        <x:v>0</x:v>
      </x:c>
      <x:c r="L13" s="8" t="n">
        <x:f>IF(AND(8&gt;='合同排期'!J6,8&lt;'合同排期'!J6+12),'合同排期'!L6,0)</x:f>
        <x:v>0</x:v>
      </x:c>
      <x:c r="M13" s="8" t="n">
        <x:f>IF(AND(9&gt;='合同排期'!J6,9&lt;'合同排期'!J6+12),'合同排期'!L6,0)</x:f>
        <x:v>0</x:v>
      </x:c>
      <x:c r="N13" s="8" t="n">
        <x:f>IF(AND(10&gt;='合同排期'!J6,10&lt;'合同排期'!J6+12),'合同排期'!L6,0)</x:f>
        <x:v>0</x:v>
      </x:c>
      <x:c r="O13" s="8" t="n">
        <x:f>IF(AND(11&gt;='合同排期'!J6,11&lt;'合同排期'!J6+12),'合同排期'!L6,0)</x:f>
        <x:v>0</x:v>
      </x:c>
      <x:c r="P13" s="8" t="n">
        <x:f>IF(AND(12&gt;='合同排期'!J6,12&lt;'合同排期'!J6+12),'合同排期'!L6,0)</x:f>
        <x:v>0</x:v>
      </x:c>
      <x:c r="Q13" s="8" t="n">
        <x:f>IF(AND(13&gt;='合同排期'!J6,13&lt;'合同排期'!J6+12),'合同排期'!L6,0)</x:f>
        <x:v>0</x:v>
      </x:c>
      <x:c r="R13" s="8" t="n">
        <x:f>IF(AND(14&gt;='合同排期'!J6,14&lt;'合同排期'!J6+12),'合同排期'!L6,0)</x:f>
        <x:v>0</x:v>
      </x:c>
      <x:c r="S13" s="8" t="n">
        <x:f>IF(AND(15&gt;='合同排期'!J6,15&lt;'合同排期'!J6+12),'合同排期'!L6,0)</x:f>
        <x:v>0</x:v>
      </x:c>
      <x:c r="T13" s="8" t="n">
        <x:f>IF(AND(16&gt;='合同排期'!J6,16&lt;'合同排期'!J6+12),'合同排期'!L6,0)</x:f>
        <x:v>0</x:v>
      </x:c>
      <x:c r="U13" s="8" t="n">
        <x:f>IF(AND(17&gt;='合同排期'!J6,17&lt;'合同排期'!J6+12),'合同排期'!L6,0)</x:f>
        <x:v>0</x:v>
      </x:c>
      <x:c r="V13" s="8" t="n">
        <x:f>IF(AND(18&gt;='合同排期'!J6,18&lt;'合同排期'!J6+12),'合同排期'!L6,0)</x:f>
        <x:v>0</x:v>
      </x:c>
      <x:c r="W13" s="8" t="n">
        <x:f>IF(AND(19&gt;='合同排期'!J6,19&lt;'合同排期'!J6+12),'合同排期'!L6,0)</x:f>
        <x:v>0</x:v>
      </x:c>
      <x:c r="X13" s="8" t="n">
        <x:f>IF(AND(20&gt;='合同排期'!J6,20&lt;'合同排期'!J6+12),'合同排期'!L6,0)</x:f>
        <x:v>0</x:v>
      </x:c>
      <x:c r="Y13" s="8" t="n">
        <x:f>IF(AND(21&gt;='合同排期'!J6,21&lt;'合同排期'!J6+12),'合同排期'!L6,0)</x:f>
        <x:v>0</x:v>
      </x:c>
      <x:c r="Z13" s="8" t="n">
        <x:f>IF(AND(22&gt;='合同排期'!J6,22&lt;'合同排期'!J6+12),'合同排期'!L6,0)</x:f>
        <x:v>0</x:v>
      </x:c>
      <x:c r="AA13" s="8" t="n">
        <x:f>IF(AND(23&gt;='合同排期'!J6,23&lt;'合同排期'!J6+12),'合同排期'!L6,0)</x:f>
        <x:v>0</x:v>
      </x:c>
      <x:c r="AB13" s="8" t="n">
        <x:f>IF(AND(24&gt;='合同排期'!J6,24&lt;'合同排期'!J6+12),'合同排期'!L6,0)</x:f>
        <x:v>0</x:v>
      </x:c>
    </x:row>
    <x:row r="14" ht="23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  <x:c r="AA14" s="1"/>
      <x:c r="AB14" s="1"/>
    </x:row>
    <x:row r="15" ht="23" customHeight="1">
      <x:c r="A15" s="1"/>
      <x:c r="B15" s="1"/>
      <x:c r="C15" s="1" t="str">
        <x:v>P02</x:v>
      </x:c>
      <x:c r="D15" s="1" t="str">
        <x:v>净签约</x:v>
      </x:c>
      <x:c r="E15" s="8" t="n">
        <x:f>IF(1='合同排期'!H7,'合同排期'!K7+'合同排期'!L7,0)</x:f>
        <x:v>0</x:v>
      </x:c>
      <x:c r="F15" s="8" t="n">
        <x:f>IF(2='合同排期'!H7,'合同排期'!K7+'合同排期'!L7,0)</x:f>
        <x:v>0</x:v>
      </x:c>
      <x:c r="G15" s="8" t="n">
        <x:f>IF(3='合同排期'!H7,'合同排期'!K7+'合同排期'!L7,0)</x:f>
        <x:v>0</x:v>
      </x:c>
      <x:c r="H15" s="8" t="n">
        <x:f>IF(4='合同排期'!H7,'合同排期'!K7+'合同排期'!L7,0)</x:f>
        <x:v>8</x:v>
      </x:c>
      <x:c r="I15" s="8" t="n">
        <x:f>IF(5='合同排期'!H7,'合同排期'!K7+'合同排期'!L7,0)</x:f>
        <x:v>0</x:v>
      </x:c>
      <x:c r="J15" s="8" t="n">
        <x:f>IF(6='合同排期'!H7,'合同排期'!K7+'合同排期'!L7,0)</x:f>
        <x:v>0</x:v>
      </x:c>
      <x:c r="K15" s="8" t="n">
        <x:f>IF(7='合同排期'!H7,'合同排期'!K7+'合同排期'!L7,0)</x:f>
        <x:v>0</x:v>
      </x:c>
      <x:c r="L15" s="8" t="n">
        <x:f>IF(8='合同排期'!H7,'合同排期'!K7+'合同排期'!L7,0)</x:f>
        <x:v>0</x:v>
      </x:c>
      <x:c r="M15" s="8" t="n">
        <x:f>IF(9='合同排期'!H7,'合同排期'!K7+'合同排期'!L7,0)</x:f>
        <x:v>0</x:v>
      </x:c>
      <x:c r="N15" s="8" t="n">
        <x:f>IF(10='合同排期'!H7,'合同排期'!K7+'合同排期'!L7,0)</x:f>
        <x:v>0</x:v>
      </x:c>
      <x:c r="O15" s="8" t="n">
        <x:f>IF(11='合同排期'!H7,'合同排期'!K7+'合同排期'!L7,0)</x:f>
        <x:v>0</x:v>
      </x:c>
      <x:c r="P15" s="8" t="n">
        <x:f>IF(12='合同排期'!H7,'合同排期'!K7+'合同排期'!L7,0)</x:f>
        <x:v>0</x:v>
      </x:c>
      <x:c r="Q15" s="8" t="n">
        <x:f>IF(13='合同排期'!H7,'合同排期'!K7+'合同排期'!L7,0)</x:f>
        <x:v>0</x:v>
      </x:c>
      <x:c r="R15" s="8" t="n">
        <x:f>IF(14='合同排期'!H7,'合同排期'!K7+'合同排期'!L7,0)</x:f>
        <x:v>0</x:v>
      </x:c>
      <x:c r="S15" s="8" t="n">
        <x:f>IF(15='合同排期'!H7,'合同排期'!K7+'合同排期'!L7,0)</x:f>
        <x:v>0</x:v>
      </x:c>
      <x:c r="T15" s="8" t="n">
        <x:f>IF(16='合同排期'!H7,'合同排期'!K7+'合同排期'!L7,0)</x:f>
        <x:v>0</x:v>
      </x:c>
      <x:c r="U15" s="8" t="n">
        <x:f>IF(17='合同排期'!H7,'合同排期'!K7+'合同排期'!L7,0)</x:f>
        <x:v>0</x:v>
      </x:c>
      <x:c r="V15" s="8" t="n">
        <x:f>IF(18='合同排期'!H7,'合同排期'!K7+'合同排期'!L7,0)</x:f>
        <x:v>0</x:v>
      </x:c>
      <x:c r="W15" s="8" t="n">
        <x:f>IF(19='合同排期'!H7,'合同排期'!K7+'合同排期'!L7,0)</x:f>
        <x:v>0</x:v>
      </x:c>
      <x:c r="X15" s="8" t="n">
        <x:f>IF(20='合同排期'!H7,'合同排期'!K7+'合同排期'!L7,0)</x:f>
        <x:v>0</x:v>
      </x:c>
      <x:c r="Y15" s="8" t="n">
        <x:f>IF(21='合同排期'!H7,'合同排期'!K7+'合同排期'!L7,0)</x:f>
        <x:v>0</x:v>
      </x:c>
      <x:c r="Z15" s="8" t="n">
        <x:f>IF(22='合同排期'!H7,'合同排期'!K7+'合同排期'!L7,0)</x:f>
        <x:v>0</x:v>
      </x:c>
      <x:c r="AA15" s="8" t="n">
        <x:f>IF(23='合同排期'!H7,'合同排期'!K7+'合同排期'!L7,0)</x:f>
        <x:v>0</x:v>
      </x:c>
      <x:c r="AB15" s="8" t="n">
        <x:f>IF(24='合同排期'!H7,'合同排期'!K7+'合同排期'!L7,0)</x:f>
        <x:v>0</x:v>
      </x:c>
    </x:row>
    <x:row r="16" ht="23" customHeight="1">
      <x:c r="A16" s="1"/>
      <x:c r="B16" s="1"/>
      <x:c r="C16" s="1" t="str">
        <x:v>P02</x:v>
      </x:c>
      <x:c r="D16" s="1" t="str">
        <x:v>确认收入</x:v>
      </x:c>
      <x:c r="E16" s="8" t="n">
        <x:f>IF(1='合同排期'!I7,'合同排期'!K7,0)+IF(AND(1&gt;='合同排期'!J7,1&lt;'合同排期'!J7+12),'合同排期'!L7/12,0)</x:f>
        <x:v>0</x:v>
      </x:c>
      <x:c r="F16" s="8" t="n">
        <x:f>IF(2='合同排期'!I7,'合同排期'!K7,0)+IF(AND(2&gt;='合同排期'!J7,2&lt;'合同排期'!J7+12),'合同排期'!L7/12,0)</x:f>
        <x:v>0</x:v>
      </x:c>
      <x:c r="G16" s="8" t="n">
        <x:f>IF(3='合同排期'!I7,'合同排期'!K7,0)+IF(AND(3&gt;='合同排期'!J7,3&lt;'合同排期'!J7+12),'合同排期'!L7/12,0)</x:f>
        <x:v>0</x:v>
      </x:c>
      <x:c r="H16" s="8" t="n">
        <x:f>IF(4='合同排期'!I7,'合同排期'!K7,0)+IF(AND(4&gt;='合同排期'!J7,4&lt;'合同排期'!J7+12),'合同排期'!L7/12,0)</x:f>
        <x:v>0</x:v>
      </x:c>
      <x:c r="I16" s="8" t="n">
        <x:f>IF(5='合同排期'!I7,'合同排期'!K7,0)+IF(AND(5&gt;='合同排期'!J7,5&lt;'合同排期'!J7+12),'合同排期'!L7/12,0)</x:f>
        <x:v>8</x:v>
      </x:c>
      <x:c r="J16" s="8" t="n">
        <x:f>IF(6='合同排期'!I7,'合同排期'!K7,0)+IF(AND(6&gt;='合同排期'!J7,6&lt;'合同排期'!J7+12),'合同排期'!L7/12,0)</x:f>
        <x:v>0</x:v>
      </x:c>
      <x:c r="K16" s="8" t="n">
        <x:f>IF(7='合同排期'!I7,'合同排期'!K7,0)+IF(AND(7&gt;='合同排期'!J7,7&lt;'合同排期'!J7+12),'合同排期'!L7/12,0)</x:f>
        <x:v>0</x:v>
      </x:c>
      <x:c r="L16" s="8" t="n">
        <x:f>IF(8='合同排期'!I7,'合同排期'!K7,0)+IF(AND(8&gt;='合同排期'!J7,8&lt;'合同排期'!J7+12),'合同排期'!L7/12,0)</x:f>
        <x:v>0</x:v>
      </x:c>
      <x:c r="M16" s="8" t="n">
        <x:f>IF(9='合同排期'!I7,'合同排期'!K7,0)+IF(AND(9&gt;='合同排期'!J7,9&lt;'合同排期'!J7+12),'合同排期'!L7/12,0)</x:f>
        <x:v>0</x:v>
      </x:c>
      <x:c r="N16" s="8" t="n">
        <x:f>IF(10='合同排期'!I7,'合同排期'!K7,0)+IF(AND(10&gt;='合同排期'!J7,10&lt;'合同排期'!J7+12),'合同排期'!L7/12,0)</x:f>
        <x:v>0</x:v>
      </x:c>
      <x:c r="O16" s="8" t="n">
        <x:f>IF(11='合同排期'!I7,'合同排期'!K7,0)+IF(AND(11&gt;='合同排期'!J7,11&lt;'合同排期'!J7+12),'合同排期'!L7/12,0)</x:f>
        <x:v>0</x:v>
      </x:c>
      <x:c r="P16" s="8" t="n">
        <x:f>IF(12='合同排期'!I7,'合同排期'!K7,0)+IF(AND(12&gt;='合同排期'!J7,12&lt;'合同排期'!J7+12),'合同排期'!L7/12,0)</x:f>
        <x:v>0</x:v>
      </x:c>
      <x:c r="Q16" s="8" t="n">
        <x:f>IF(13='合同排期'!I7,'合同排期'!K7,0)+IF(AND(13&gt;='合同排期'!J7,13&lt;'合同排期'!J7+12),'合同排期'!L7/12,0)</x:f>
        <x:v>0</x:v>
      </x:c>
      <x:c r="R16" s="8" t="n">
        <x:f>IF(14='合同排期'!I7,'合同排期'!K7,0)+IF(AND(14&gt;='合同排期'!J7,14&lt;'合同排期'!J7+12),'合同排期'!L7/12,0)</x:f>
        <x:v>0</x:v>
      </x:c>
      <x:c r="S16" s="8" t="n">
        <x:f>IF(15='合同排期'!I7,'合同排期'!K7,0)+IF(AND(15&gt;='合同排期'!J7,15&lt;'合同排期'!J7+12),'合同排期'!L7/12,0)</x:f>
        <x:v>0</x:v>
      </x:c>
      <x:c r="T16" s="8" t="n">
        <x:f>IF(16='合同排期'!I7,'合同排期'!K7,0)+IF(AND(16&gt;='合同排期'!J7,16&lt;'合同排期'!J7+12),'合同排期'!L7/12,0)</x:f>
        <x:v>0</x:v>
      </x:c>
      <x:c r="U16" s="8" t="n">
        <x:f>IF(17='合同排期'!I7,'合同排期'!K7,0)+IF(AND(17&gt;='合同排期'!J7,17&lt;'合同排期'!J7+12),'合同排期'!L7/12,0)</x:f>
        <x:v>0</x:v>
      </x:c>
      <x:c r="V16" s="8" t="n">
        <x:f>IF(18='合同排期'!I7,'合同排期'!K7,0)+IF(AND(18&gt;='合同排期'!J7,18&lt;'合同排期'!J7+12),'合同排期'!L7/12,0)</x:f>
        <x:v>0</x:v>
      </x:c>
      <x:c r="W16" s="8" t="n">
        <x:f>IF(19='合同排期'!I7,'合同排期'!K7,0)+IF(AND(19&gt;='合同排期'!J7,19&lt;'合同排期'!J7+12),'合同排期'!L7/12,0)</x:f>
        <x:v>0</x:v>
      </x:c>
      <x:c r="X16" s="8" t="n">
        <x:f>IF(20='合同排期'!I7,'合同排期'!K7,0)+IF(AND(20&gt;='合同排期'!J7,20&lt;'合同排期'!J7+12),'合同排期'!L7/12,0)</x:f>
        <x:v>0</x:v>
      </x:c>
      <x:c r="Y16" s="8" t="n">
        <x:f>IF(21='合同排期'!I7,'合同排期'!K7,0)+IF(AND(21&gt;='合同排期'!J7,21&lt;'合同排期'!J7+12),'合同排期'!L7/12,0)</x:f>
        <x:v>0</x:v>
      </x:c>
      <x:c r="Z16" s="8" t="n">
        <x:f>IF(22='合同排期'!I7,'合同排期'!K7,0)+IF(AND(22&gt;='合同排期'!J7,22&lt;'合同排期'!J7+12),'合同排期'!L7/12,0)</x:f>
        <x:v>0</x:v>
      </x:c>
      <x:c r="AA16" s="8" t="n">
        <x:f>IF(23='合同排期'!I7,'合同排期'!K7,0)+IF(AND(23&gt;='合同排期'!J7,23&lt;'合同排期'!J7+12),'合同排期'!L7/12,0)</x:f>
        <x:v>0</x:v>
      </x:c>
      <x:c r="AB16" s="8" t="n">
        <x:f>IF(24='合同排期'!I7,'合同排期'!K7,0)+IF(AND(24&gt;='合同排期'!J7,24&lt;'合同排期'!J7+12),'合同排期'!L7/12,0)</x:f>
        <x:v>0</x:v>
      </x:c>
    </x:row>
    <x:row r="17" ht="23" customHeight="1">
      <x:c r="A17" s="1"/>
      <x:c r="B17" s="1"/>
      <x:c r="C17" s="1" t="str">
        <x:v>P02</x:v>
      </x:c>
      <x:c r="D17" s="1" t="str">
        <x:v>开票</x:v>
      </x:c>
      <x:c r="E17" s="8" t="n">
        <x:f>IF(1='合同排期'!H7,'合同排期'!K7*'合同排期'!P7,0)+IF(1='合同排期'!S7,'合同排期'!K7*'合同排期'!Q7,0)+IF(1='合同排期'!I7,'合同排期'!K7*'合同排期'!R7,0)+IF(1='合同排期'!J7,'合同排期'!L7,0)</x:f>
        <x:v>0</x:v>
      </x:c>
      <x:c r="F17" s="8" t="n">
        <x:f>IF(2='合同排期'!H7,'合同排期'!K7*'合同排期'!P7,0)+IF(2='合同排期'!S7,'合同排期'!K7*'合同排期'!Q7,0)+IF(2='合同排期'!I7,'合同排期'!K7*'合同排期'!R7,0)+IF(2='合同排期'!J7,'合同排期'!L7,0)</x:f>
        <x:v>0</x:v>
      </x:c>
      <x:c r="G17" s="8" t="n">
        <x:f>IF(3='合同排期'!H7,'合同排期'!K7*'合同排期'!P7,0)+IF(3='合同排期'!S7,'合同排期'!K7*'合同排期'!Q7,0)+IF(3='合同排期'!I7,'合同排期'!K7*'合同排期'!R7,0)+IF(3='合同排期'!J7,'合同排期'!L7,0)</x:f>
        <x:v>0</x:v>
      </x:c>
      <x:c r="H17" s="8" t="n">
        <x:f>IF(4='合同排期'!H7,'合同排期'!K7*'合同排期'!P7,0)+IF(4='合同排期'!S7,'合同排期'!K7*'合同排期'!Q7,0)+IF(4='合同排期'!I7,'合同排期'!K7*'合同排期'!R7,0)+IF(4='合同排期'!J7,'合同排期'!L7,0)</x:f>
        <x:v>2.4</x:v>
      </x:c>
      <x:c r="I17" s="8" t="n">
        <x:f>IF(5='合同排期'!H7,'合同排期'!K7*'合同排期'!P7,0)+IF(5='合同排期'!S7,'合同排期'!K7*'合同排期'!Q7,0)+IF(5='合同排期'!I7,'合同排期'!K7*'合同排期'!R7,0)+IF(5='合同排期'!J7,'合同排期'!L7,0)</x:f>
        <x:v>5.6</x:v>
      </x:c>
      <x:c r="J17" s="8" t="n">
        <x:f>IF(6='合同排期'!H7,'合同排期'!K7*'合同排期'!P7,0)+IF(6='合同排期'!S7,'合同排期'!K7*'合同排期'!Q7,0)+IF(6='合同排期'!I7,'合同排期'!K7*'合同排期'!R7,0)+IF(6='合同排期'!J7,'合同排期'!L7,0)</x:f>
        <x:v>0</x:v>
      </x:c>
      <x:c r="K17" s="8" t="n">
        <x:f>IF(7='合同排期'!H7,'合同排期'!K7*'合同排期'!P7,0)+IF(7='合同排期'!S7,'合同排期'!K7*'合同排期'!Q7,0)+IF(7='合同排期'!I7,'合同排期'!K7*'合同排期'!R7,0)+IF(7='合同排期'!J7,'合同排期'!L7,0)</x:f>
        <x:v>0</x:v>
      </x:c>
      <x:c r="L17" s="8" t="n">
        <x:f>IF(8='合同排期'!H7,'合同排期'!K7*'合同排期'!P7,0)+IF(8='合同排期'!S7,'合同排期'!K7*'合同排期'!Q7,0)+IF(8='合同排期'!I7,'合同排期'!K7*'合同排期'!R7,0)+IF(8='合同排期'!J7,'合同排期'!L7,0)</x:f>
        <x:v>0</x:v>
      </x:c>
      <x:c r="M17" s="8" t="n">
        <x:f>IF(9='合同排期'!H7,'合同排期'!K7*'合同排期'!P7,0)+IF(9='合同排期'!S7,'合同排期'!K7*'合同排期'!Q7,0)+IF(9='合同排期'!I7,'合同排期'!K7*'合同排期'!R7,0)+IF(9='合同排期'!J7,'合同排期'!L7,0)</x:f>
        <x:v>0</x:v>
      </x:c>
      <x:c r="N17" s="8" t="n">
        <x:f>IF(10='合同排期'!H7,'合同排期'!K7*'合同排期'!P7,0)+IF(10='合同排期'!S7,'合同排期'!K7*'合同排期'!Q7,0)+IF(10='合同排期'!I7,'合同排期'!K7*'合同排期'!R7,0)+IF(10='合同排期'!J7,'合同排期'!L7,0)</x:f>
        <x:v>0</x:v>
      </x:c>
      <x:c r="O17" s="8" t="n">
        <x:f>IF(11='合同排期'!H7,'合同排期'!K7*'合同排期'!P7,0)+IF(11='合同排期'!S7,'合同排期'!K7*'合同排期'!Q7,0)+IF(11='合同排期'!I7,'合同排期'!K7*'合同排期'!R7,0)+IF(11='合同排期'!J7,'合同排期'!L7,0)</x:f>
        <x:v>0</x:v>
      </x:c>
      <x:c r="P17" s="8" t="n">
        <x:f>IF(12='合同排期'!H7,'合同排期'!K7*'合同排期'!P7,0)+IF(12='合同排期'!S7,'合同排期'!K7*'合同排期'!Q7,0)+IF(12='合同排期'!I7,'合同排期'!K7*'合同排期'!R7,0)+IF(12='合同排期'!J7,'合同排期'!L7,0)</x:f>
        <x:v>0</x:v>
      </x:c>
      <x:c r="Q17" s="8" t="n">
        <x:f>IF(13='合同排期'!H7,'合同排期'!K7*'合同排期'!P7,0)+IF(13='合同排期'!S7,'合同排期'!K7*'合同排期'!Q7,0)+IF(13='合同排期'!I7,'合同排期'!K7*'合同排期'!R7,0)+IF(13='合同排期'!J7,'合同排期'!L7,0)</x:f>
        <x:v>0</x:v>
      </x:c>
      <x:c r="R17" s="8" t="n">
        <x:f>IF(14='合同排期'!H7,'合同排期'!K7*'合同排期'!P7,0)+IF(14='合同排期'!S7,'合同排期'!K7*'合同排期'!Q7,0)+IF(14='合同排期'!I7,'合同排期'!K7*'合同排期'!R7,0)+IF(14='合同排期'!J7,'合同排期'!L7,0)</x:f>
        <x:v>0</x:v>
      </x:c>
      <x:c r="S17" s="8" t="n">
        <x:f>IF(15='合同排期'!H7,'合同排期'!K7*'合同排期'!P7,0)+IF(15='合同排期'!S7,'合同排期'!K7*'合同排期'!Q7,0)+IF(15='合同排期'!I7,'合同排期'!K7*'合同排期'!R7,0)+IF(15='合同排期'!J7,'合同排期'!L7,0)</x:f>
        <x:v>0</x:v>
      </x:c>
      <x:c r="T17" s="8" t="n">
        <x:f>IF(16='合同排期'!H7,'合同排期'!K7*'合同排期'!P7,0)+IF(16='合同排期'!S7,'合同排期'!K7*'合同排期'!Q7,0)+IF(16='合同排期'!I7,'合同排期'!K7*'合同排期'!R7,0)+IF(16='合同排期'!J7,'合同排期'!L7,0)</x:f>
        <x:v>0</x:v>
      </x:c>
      <x:c r="U17" s="8" t="n">
        <x:f>IF(17='合同排期'!H7,'合同排期'!K7*'合同排期'!P7,0)+IF(17='合同排期'!S7,'合同排期'!K7*'合同排期'!Q7,0)+IF(17='合同排期'!I7,'合同排期'!K7*'合同排期'!R7,0)+IF(17='合同排期'!J7,'合同排期'!L7,0)</x:f>
        <x:v>0</x:v>
      </x:c>
      <x:c r="V17" s="8" t="n">
        <x:f>IF(18='合同排期'!H7,'合同排期'!K7*'合同排期'!P7,0)+IF(18='合同排期'!S7,'合同排期'!K7*'合同排期'!Q7,0)+IF(18='合同排期'!I7,'合同排期'!K7*'合同排期'!R7,0)+IF(18='合同排期'!J7,'合同排期'!L7,0)</x:f>
        <x:v>0</x:v>
      </x:c>
      <x:c r="W17" s="8" t="n">
        <x:f>IF(19='合同排期'!H7,'合同排期'!K7*'合同排期'!P7,0)+IF(19='合同排期'!S7,'合同排期'!K7*'合同排期'!Q7,0)+IF(19='合同排期'!I7,'合同排期'!K7*'合同排期'!R7,0)+IF(19='合同排期'!J7,'合同排期'!L7,0)</x:f>
        <x:v>0</x:v>
      </x:c>
      <x:c r="X17" s="8" t="n">
        <x:f>IF(20='合同排期'!H7,'合同排期'!K7*'合同排期'!P7,0)+IF(20='合同排期'!S7,'合同排期'!K7*'合同排期'!Q7,0)+IF(20='合同排期'!I7,'合同排期'!K7*'合同排期'!R7,0)+IF(20='合同排期'!J7,'合同排期'!L7,0)</x:f>
        <x:v>0</x:v>
      </x:c>
      <x:c r="Y17" s="8" t="n">
        <x:f>IF(21='合同排期'!H7,'合同排期'!K7*'合同排期'!P7,0)+IF(21='合同排期'!S7,'合同排期'!K7*'合同排期'!Q7,0)+IF(21='合同排期'!I7,'合同排期'!K7*'合同排期'!R7,0)+IF(21='合同排期'!J7,'合同排期'!L7,0)</x:f>
        <x:v>0</x:v>
      </x:c>
      <x:c r="Z17" s="8" t="n">
        <x:f>IF(22='合同排期'!H7,'合同排期'!K7*'合同排期'!P7,0)+IF(22='合同排期'!S7,'合同排期'!K7*'合同排期'!Q7,0)+IF(22='合同排期'!I7,'合同排期'!K7*'合同排期'!R7,0)+IF(22='合同排期'!J7,'合同排期'!L7,0)</x:f>
        <x:v>0</x:v>
      </x:c>
      <x:c r="AA17" s="8" t="n">
        <x:f>IF(23='合同排期'!H7,'合同排期'!K7*'合同排期'!P7,0)+IF(23='合同排期'!S7,'合同排期'!K7*'合同排期'!Q7,0)+IF(23='合同排期'!I7,'合同排期'!K7*'合同排期'!R7,0)+IF(23='合同排期'!J7,'合同排期'!L7,0)</x:f>
        <x:v>0</x:v>
      </x:c>
      <x:c r="AB17" s="8" t="n">
        <x:f>IF(24='合同排期'!H7,'合同排期'!K7*'合同排期'!P7,0)+IF(24='合同排期'!S7,'合同排期'!K7*'合同排期'!Q7,0)+IF(24='合同排期'!I7,'合同排期'!K7*'合同排期'!R7,0)+IF(24='合同排期'!J7,'合同排期'!L7,0)</x:f>
        <x:v>0</x:v>
      </x:c>
    </x:row>
    <x:row r="18" ht="23" customHeight="1">
      <x:c r="A18" s="1"/>
      <x:c r="B18" s="1"/>
      <x:c r="C18" s="1" t="str">
        <x:v>P02</x:v>
      </x:c>
      <x:c r="D18" s="1" t="str">
        <x:v>回款</x:v>
      </x:c>
      <x:c r="E18" s="8" t="n">
        <x:f>IF(1&gt;'假设'!D27,INDEX($E17:$AB17,1,1-'假设'!D27),0)</x:f>
        <x:v>0</x:v>
      </x:c>
      <x:c r="F18" s="8" t="n">
        <x:f>IF(2&gt;'假设'!D27,INDEX($E17:$AB17,1,2-'假设'!D27),0)</x:f>
        <x:v>0</x:v>
      </x:c>
      <x:c r="G18" s="8" t="n">
        <x:f>IF(3&gt;'假设'!D27,INDEX($E17:$AB17,1,3-'假设'!D27),0)</x:f>
        <x:v>0</x:v>
      </x:c>
      <x:c r="H18" s="8" t="n">
        <x:f>IF(4&gt;'假设'!D27,INDEX($E17:$AB17,1,4-'假设'!D27),0)</x:f>
        <x:v>0</x:v>
      </x:c>
      <x:c r="I18" s="8" t="n">
        <x:f>IF(5&gt;'假设'!D27,INDEX($E17:$AB17,1,5-'假设'!D27),0)</x:f>
        <x:v>2.4</x:v>
      </x:c>
      <x:c r="J18" s="8" t="n">
        <x:f>IF(6&gt;'假设'!D27,INDEX($E17:$AB17,1,6-'假设'!D27),0)</x:f>
        <x:v>5.6</x:v>
      </x:c>
      <x:c r="K18" s="8" t="n">
        <x:f>IF(7&gt;'假设'!D27,INDEX($E17:$AB17,1,7-'假设'!D27),0)</x:f>
        <x:v>0</x:v>
      </x:c>
      <x:c r="L18" s="8" t="n">
        <x:f>IF(8&gt;'假设'!D27,INDEX($E17:$AB17,1,8-'假设'!D27),0)</x:f>
        <x:v>0</x:v>
      </x:c>
      <x:c r="M18" s="8" t="n">
        <x:f>IF(9&gt;'假设'!D27,INDEX($E17:$AB17,1,9-'假设'!D27),0)</x:f>
        <x:v>0</x:v>
      </x:c>
      <x:c r="N18" s="8" t="n">
        <x:f>IF(10&gt;'假设'!D27,INDEX($E17:$AB17,1,10-'假设'!D27),0)</x:f>
        <x:v>0</x:v>
      </x:c>
      <x:c r="O18" s="8" t="n">
        <x:f>IF(11&gt;'假设'!D27,INDEX($E17:$AB17,1,11-'假设'!D27),0)</x:f>
        <x:v>0</x:v>
      </x:c>
      <x:c r="P18" s="8" t="n">
        <x:f>IF(12&gt;'假设'!D27,INDEX($E17:$AB17,1,12-'假设'!D27),0)</x:f>
        <x:v>0</x:v>
      </x:c>
      <x:c r="Q18" s="8" t="n">
        <x:f>IF(13&gt;'假设'!D27,INDEX($E17:$AB17,1,13-'假设'!D27),0)</x:f>
        <x:v>0</x:v>
      </x:c>
      <x:c r="R18" s="8" t="n">
        <x:f>IF(14&gt;'假设'!D27,INDEX($E17:$AB17,1,14-'假设'!D27),0)</x:f>
        <x:v>0</x:v>
      </x:c>
      <x:c r="S18" s="8" t="n">
        <x:f>IF(15&gt;'假设'!D27,INDEX($E17:$AB17,1,15-'假设'!D27),0)</x:f>
        <x:v>0</x:v>
      </x:c>
      <x:c r="T18" s="8" t="n">
        <x:f>IF(16&gt;'假设'!D27,INDEX($E17:$AB17,1,16-'假设'!D27),0)</x:f>
        <x:v>0</x:v>
      </x:c>
      <x:c r="U18" s="8" t="n">
        <x:f>IF(17&gt;'假设'!D27,INDEX($E17:$AB17,1,17-'假设'!D27),0)</x:f>
        <x:v>0</x:v>
      </x:c>
      <x:c r="V18" s="8" t="n">
        <x:f>IF(18&gt;'假设'!D27,INDEX($E17:$AB17,1,18-'假设'!D27),0)</x:f>
        <x:v>0</x:v>
      </x:c>
      <x:c r="W18" s="8" t="n">
        <x:f>IF(19&gt;'假设'!D27,INDEX($E17:$AB17,1,19-'假设'!D27),0)</x:f>
        <x:v>0</x:v>
      </x:c>
      <x:c r="X18" s="8" t="n">
        <x:f>IF(20&gt;'假设'!D27,INDEX($E17:$AB17,1,20-'假设'!D27),0)</x:f>
        <x:v>0</x:v>
      </x:c>
      <x:c r="Y18" s="8" t="n">
        <x:f>IF(21&gt;'假设'!D27,INDEX($E17:$AB17,1,21-'假设'!D27),0)</x:f>
        <x:v>0</x:v>
      </x:c>
      <x:c r="Z18" s="8" t="n">
        <x:f>IF(22&gt;'假设'!D27,INDEX($E17:$AB17,1,22-'假设'!D27),0)</x:f>
        <x:v>0</x:v>
      </x:c>
      <x:c r="AA18" s="8" t="n">
        <x:f>IF(23&gt;'假设'!D27,INDEX($E17:$AB17,1,23-'假设'!D27),0)</x:f>
        <x:v>0</x:v>
      </x:c>
      <x:c r="AB18" s="8" t="n">
        <x:f>IF(24&gt;'假设'!D27,INDEX($E17:$AB17,1,24-'假设'!D27),0)</x:f>
        <x:v>0</x:v>
      </x:c>
    </x:row>
    <x:row r="19" ht="23" customHeight="1">
      <x:c r="A19" s="1"/>
      <x:c r="B19" s="1"/>
      <x:c r="C19" s="1" t="str">
        <x:v>P02</x:v>
      </x:c>
      <x:c r="D19" s="1" t="str">
        <x:v>直接损益成本</x:v>
      </x:c>
      <x:c r="E19" s="8" t="n">
        <x:f>IF(1='合同排期'!I7,'合同排期'!N7,0)+IF(AND(1&gt;='合同排期'!J7,1&lt;'合同排期'!J7+12),'合同排期'!O7,0)+E15*'假设'!D47</x:f>
        <x:v>0</x:v>
      </x:c>
      <x:c r="F19" s="8" t="n">
        <x:f>IF(2='合同排期'!I7,'合同排期'!N7,0)+IF(AND(2&gt;='合同排期'!J7,2&lt;'合同排期'!J7+12),'合同排期'!O7,0)+F15*'假设'!D47</x:f>
        <x:v>0</x:v>
      </x:c>
      <x:c r="G19" s="8" t="n">
        <x:f>IF(3='合同排期'!I7,'合同排期'!N7,0)+IF(AND(3&gt;='合同排期'!J7,3&lt;'合同排期'!J7+12),'合同排期'!O7,0)+G15*'假设'!D47</x:f>
        <x:v>0</x:v>
      </x:c>
      <x:c r="H19" s="8" t="n">
        <x:f>IF(4='合同排期'!I7,'合同排期'!N7,0)+IF(AND(4&gt;='合同排期'!J7,4&lt;'合同排期'!J7+12),'合同排期'!O7,0)+H15*'假设'!D47</x:f>
        <x:v>0.4</x:v>
      </x:c>
      <x:c r="I19" s="8" t="n">
        <x:f>IF(5='合同排期'!I7,'合同排期'!N7,0)+IF(AND(5&gt;='合同排期'!J7,5&lt;'合同排期'!J7+12),'合同排期'!O7,0)+I15*'假设'!D47</x:f>
        <x:v>3.7</x:v>
      </x:c>
      <x:c r="J19" s="8" t="n">
        <x:f>IF(6='合同排期'!I7,'合同排期'!N7,0)+IF(AND(6&gt;='合同排期'!J7,6&lt;'合同排期'!J7+12),'合同排期'!O7,0)+J15*'假设'!D47</x:f>
        <x:v>0</x:v>
      </x:c>
      <x:c r="K19" s="8" t="n">
        <x:f>IF(7='合同排期'!I7,'合同排期'!N7,0)+IF(AND(7&gt;='合同排期'!J7,7&lt;'合同排期'!J7+12),'合同排期'!O7,0)+K15*'假设'!D47</x:f>
        <x:v>0</x:v>
      </x:c>
      <x:c r="L19" s="8" t="n">
        <x:f>IF(8='合同排期'!I7,'合同排期'!N7,0)+IF(AND(8&gt;='合同排期'!J7,8&lt;'合同排期'!J7+12),'合同排期'!O7,0)+L15*'假设'!D47</x:f>
        <x:v>0</x:v>
      </x:c>
      <x:c r="M19" s="8" t="n">
        <x:f>IF(9='合同排期'!I7,'合同排期'!N7,0)+IF(AND(9&gt;='合同排期'!J7,9&lt;'合同排期'!J7+12),'合同排期'!O7,0)+M15*'假设'!D47</x:f>
        <x:v>0</x:v>
      </x:c>
      <x:c r="N19" s="8" t="n">
        <x:f>IF(10='合同排期'!I7,'合同排期'!N7,0)+IF(AND(10&gt;='合同排期'!J7,10&lt;'合同排期'!J7+12),'合同排期'!O7,0)+N15*'假设'!D47</x:f>
        <x:v>0</x:v>
      </x:c>
      <x:c r="O19" s="8" t="n">
        <x:f>IF(11='合同排期'!I7,'合同排期'!N7,0)+IF(AND(11&gt;='合同排期'!J7,11&lt;'合同排期'!J7+12),'合同排期'!O7,0)+O15*'假设'!D47</x:f>
        <x:v>0</x:v>
      </x:c>
      <x:c r="P19" s="8" t="n">
        <x:f>IF(12='合同排期'!I7,'合同排期'!N7,0)+IF(AND(12&gt;='合同排期'!J7,12&lt;'合同排期'!J7+12),'合同排期'!O7,0)+P15*'假设'!D47</x:f>
        <x:v>0</x:v>
      </x:c>
      <x:c r="Q19" s="8" t="n">
        <x:f>IF(13='合同排期'!I7,'合同排期'!N7,0)+IF(AND(13&gt;='合同排期'!J7,13&lt;'合同排期'!J7+12),'合同排期'!O7,0)+Q15*'假设'!D47</x:f>
        <x:v>0</x:v>
      </x:c>
      <x:c r="R19" s="8" t="n">
        <x:f>IF(14='合同排期'!I7,'合同排期'!N7,0)+IF(AND(14&gt;='合同排期'!J7,14&lt;'合同排期'!J7+12),'合同排期'!O7,0)+R15*'假设'!D47</x:f>
        <x:v>0</x:v>
      </x:c>
      <x:c r="S19" s="8" t="n">
        <x:f>IF(15='合同排期'!I7,'合同排期'!N7,0)+IF(AND(15&gt;='合同排期'!J7,15&lt;'合同排期'!J7+12),'合同排期'!O7,0)+S15*'假设'!D47</x:f>
        <x:v>0</x:v>
      </x:c>
      <x:c r="T19" s="8" t="n">
        <x:f>IF(16='合同排期'!I7,'合同排期'!N7,0)+IF(AND(16&gt;='合同排期'!J7,16&lt;'合同排期'!J7+12),'合同排期'!O7,0)+T15*'假设'!D47</x:f>
        <x:v>0</x:v>
      </x:c>
      <x:c r="U19" s="8" t="n">
        <x:f>IF(17='合同排期'!I7,'合同排期'!N7,0)+IF(AND(17&gt;='合同排期'!J7,17&lt;'合同排期'!J7+12),'合同排期'!O7,0)+U15*'假设'!D47</x:f>
        <x:v>0</x:v>
      </x:c>
      <x:c r="V19" s="8" t="n">
        <x:f>IF(18='合同排期'!I7,'合同排期'!N7,0)+IF(AND(18&gt;='合同排期'!J7,18&lt;'合同排期'!J7+12),'合同排期'!O7,0)+V15*'假设'!D47</x:f>
        <x:v>0</x:v>
      </x:c>
      <x:c r="W19" s="8" t="n">
        <x:f>IF(19='合同排期'!I7,'合同排期'!N7,0)+IF(AND(19&gt;='合同排期'!J7,19&lt;'合同排期'!J7+12),'合同排期'!O7,0)+W15*'假设'!D47</x:f>
        <x:v>0</x:v>
      </x:c>
      <x:c r="X19" s="8" t="n">
        <x:f>IF(20='合同排期'!I7,'合同排期'!N7,0)+IF(AND(20&gt;='合同排期'!J7,20&lt;'合同排期'!J7+12),'合同排期'!O7,0)+X15*'假设'!D47</x:f>
        <x:v>0</x:v>
      </x:c>
      <x:c r="Y19" s="8" t="n">
        <x:f>IF(21='合同排期'!I7,'合同排期'!N7,0)+IF(AND(21&gt;='合同排期'!J7,21&lt;'合同排期'!J7+12),'合同排期'!O7,0)+Y15*'假设'!D47</x:f>
        <x:v>0</x:v>
      </x:c>
      <x:c r="Z19" s="8" t="n">
        <x:f>IF(22='合同排期'!I7,'合同排期'!N7,0)+IF(AND(22&gt;='合同排期'!J7,22&lt;'合同排期'!J7+12),'合同排期'!O7,0)+Z15*'假设'!D47</x:f>
        <x:v>0</x:v>
      </x:c>
      <x:c r="AA19" s="8" t="n">
        <x:f>IF(23='合同排期'!I7,'合同排期'!N7,0)+IF(AND(23&gt;='合同排期'!J7,23&lt;'合同排期'!J7+12),'合同排期'!O7,0)+AA15*'假设'!D47</x:f>
        <x:v>0</x:v>
      </x:c>
      <x:c r="AB19" s="8" t="n">
        <x:f>IF(24='合同排期'!I7,'合同排期'!N7,0)+IF(AND(24&gt;='合同排期'!J7,24&lt;'合同排期'!J7+12),'合同排期'!O7,0)+AB15*'假设'!D47</x:f>
        <x:v>0</x:v>
      </x:c>
    </x:row>
    <x:row r="20" ht="23" customHeight="1">
      <x:c r="A20" s="1"/>
      <x:c r="B20" s="1"/>
      <x:c r="C20" s="1" t="str">
        <x:v>P02</x:v>
      </x:c>
      <x:c r="D20" s="1" t="str">
        <x:v>直接现金成本</x:v>
      </x:c>
      <x:c r="E20" s="8" t="n">
        <x:f>IF(AND(1&gt;='合同排期'!H7,1&lt;='合同排期'!I7),'合同排期'!N7/('合同排期'!I7-'合同排期'!H7+1),0)+IF(AND(1&gt;='合同排期'!J7,1&lt;'合同排期'!J7+12),'合同排期'!O7,0)+E18*'假设'!D47</x:f>
        <x:v>0</x:v>
      </x:c>
      <x:c r="F20" s="8" t="n">
        <x:f>IF(AND(2&gt;='合同排期'!H7,2&lt;='合同排期'!I7),'合同排期'!N7/('合同排期'!I7-'合同排期'!H7+1),0)+IF(AND(2&gt;='合同排期'!J7,2&lt;'合同排期'!J7+12),'合同排期'!O7,0)+F18*'假设'!D47</x:f>
        <x:v>0</x:v>
      </x:c>
      <x:c r="G20" s="8" t="n">
        <x:f>IF(AND(3&gt;='合同排期'!H7,3&lt;='合同排期'!I7),'合同排期'!N7/('合同排期'!I7-'合同排期'!H7+1),0)+IF(AND(3&gt;='合同排期'!J7,3&lt;'合同排期'!J7+12),'合同排期'!O7,0)+G18*'假设'!D47</x:f>
        <x:v>0</x:v>
      </x:c>
      <x:c r="H20" s="8" t="n">
        <x:f>IF(AND(4&gt;='合同排期'!H7,4&lt;='合同排期'!I7),'合同排期'!N7/('合同排期'!I7-'合同排期'!H7+1),0)+IF(AND(4&gt;='合同排期'!J7,4&lt;'合同排期'!J7+12),'合同排期'!O7,0)+H18*'假设'!D47</x:f>
        <x:v>1.85</x:v>
      </x:c>
      <x:c r="I20" s="8" t="n">
        <x:f>IF(AND(5&gt;='合同排期'!H7,5&lt;='合同排期'!I7),'合同排期'!N7/('合同排期'!I7-'合同排期'!H7+1),0)+IF(AND(5&gt;='合同排期'!J7,5&lt;'合同排期'!J7+12),'合同排期'!O7,0)+I18*'假设'!D47</x:f>
        <x:v>1.9700000000000002</x:v>
      </x:c>
      <x:c r="J20" s="8" t="n">
        <x:f>IF(AND(6&gt;='合同排期'!H7,6&lt;='合同排期'!I7),'合同排期'!N7/('合同排期'!I7-'合同排期'!H7+1),0)+IF(AND(6&gt;='合同排期'!J7,6&lt;'合同排期'!J7+12),'合同排期'!O7,0)+J18*'假设'!D47</x:f>
        <x:v>0.27999999999999997</x:v>
      </x:c>
      <x:c r="K20" s="8" t="n">
        <x:f>IF(AND(7&gt;='合同排期'!H7,7&lt;='合同排期'!I7),'合同排期'!N7/('合同排期'!I7-'合同排期'!H7+1),0)+IF(AND(7&gt;='合同排期'!J7,7&lt;'合同排期'!J7+12),'合同排期'!O7,0)+K18*'假设'!D47</x:f>
        <x:v>0</x:v>
      </x:c>
      <x:c r="L20" s="8" t="n">
        <x:f>IF(AND(8&gt;='合同排期'!H7,8&lt;='合同排期'!I7),'合同排期'!N7/('合同排期'!I7-'合同排期'!H7+1),0)+IF(AND(8&gt;='合同排期'!J7,8&lt;'合同排期'!J7+12),'合同排期'!O7,0)+L18*'假设'!D47</x:f>
        <x:v>0</x:v>
      </x:c>
      <x:c r="M20" s="8" t="n">
        <x:f>IF(AND(9&gt;='合同排期'!H7,9&lt;='合同排期'!I7),'合同排期'!N7/('合同排期'!I7-'合同排期'!H7+1),0)+IF(AND(9&gt;='合同排期'!J7,9&lt;'合同排期'!J7+12),'合同排期'!O7,0)+M18*'假设'!D47</x:f>
        <x:v>0</x:v>
      </x:c>
      <x:c r="N20" s="8" t="n">
        <x:f>IF(AND(10&gt;='合同排期'!H7,10&lt;='合同排期'!I7),'合同排期'!N7/('合同排期'!I7-'合同排期'!H7+1),0)+IF(AND(10&gt;='合同排期'!J7,10&lt;'合同排期'!J7+12),'合同排期'!O7,0)+N18*'假设'!D47</x:f>
        <x:v>0</x:v>
      </x:c>
      <x:c r="O20" s="8" t="n">
        <x:f>IF(AND(11&gt;='合同排期'!H7,11&lt;='合同排期'!I7),'合同排期'!N7/('合同排期'!I7-'合同排期'!H7+1),0)+IF(AND(11&gt;='合同排期'!J7,11&lt;'合同排期'!J7+12),'合同排期'!O7,0)+O18*'假设'!D47</x:f>
        <x:v>0</x:v>
      </x:c>
      <x:c r="P20" s="8" t="n">
        <x:f>IF(AND(12&gt;='合同排期'!H7,12&lt;='合同排期'!I7),'合同排期'!N7/('合同排期'!I7-'合同排期'!H7+1),0)+IF(AND(12&gt;='合同排期'!J7,12&lt;'合同排期'!J7+12),'合同排期'!O7,0)+P18*'假设'!D47</x:f>
        <x:v>0</x:v>
      </x:c>
      <x:c r="Q20" s="8" t="n">
        <x:f>IF(AND(13&gt;='合同排期'!H7,13&lt;='合同排期'!I7),'合同排期'!N7/('合同排期'!I7-'合同排期'!H7+1),0)+IF(AND(13&gt;='合同排期'!J7,13&lt;'合同排期'!J7+12),'合同排期'!O7,0)+Q18*'假设'!D47</x:f>
        <x:v>0</x:v>
      </x:c>
      <x:c r="R20" s="8" t="n">
        <x:f>IF(AND(14&gt;='合同排期'!H7,14&lt;='合同排期'!I7),'合同排期'!N7/('合同排期'!I7-'合同排期'!H7+1),0)+IF(AND(14&gt;='合同排期'!J7,14&lt;'合同排期'!J7+12),'合同排期'!O7,0)+R18*'假设'!D47</x:f>
        <x:v>0</x:v>
      </x:c>
      <x:c r="S20" s="8" t="n">
        <x:f>IF(AND(15&gt;='合同排期'!H7,15&lt;='合同排期'!I7),'合同排期'!N7/('合同排期'!I7-'合同排期'!H7+1),0)+IF(AND(15&gt;='合同排期'!J7,15&lt;'合同排期'!J7+12),'合同排期'!O7,0)+S18*'假设'!D47</x:f>
        <x:v>0</x:v>
      </x:c>
      <x:c r="T20" s="8" t="n">
        <x:f>IF(AND(16&gt;='合同排期'!H7,16&lt;='合同排期'!I7),'合同排期'!N7/('合同排期'!I7-'合同排期'!H7+1),0)+IF(AND(16&gt;='合同排期'!J7,16&lt;'合同排期'!J7+12),'合同排期'!O7,0)+T18*'假设'!D47</x:f>
        <x:v>0</x:v>
      </x:c>
      <x:c r="U20" s="8" t="n">
        <x:f>IF(AND(17&gt;='合同排期'!H7,17&lt;='合同排期'!I7),'合同排期'!N7/('合同排期'!I7-'合同排期'!H7+1),0)+IF(AND(17&gt;='合同排期'!J7,17&lt;'合同排期'!J7+12),'合同排期'!O7,0)+U18*'假设'!D47</x:f>
        <x:v>0</x:v>
      </x:c>
      <x:c r="V20" s="8" t="n">
        <x:f>IF(AND(18&gt;='合同排期'!H7,18&lt;='合同排期'!I7),'合同排期'!N7/('合同排期'!I7-'合同排期'!H7+1),0)+IF(AND(18&gt;='合同排期'!J7,18&lt;'合同排期'!J7+12),'合同排期'!O7,0)+V18*'假设'!D47</x:f>
        <x:v>0</x:v>
      </x:c>
      <x:c r="W20" s="8" t="n">
        <x:f>IF(AND(19&gt;='合同排期'!H7,19&lt;='合同排期'!I7),'合同排期'!N7/('合同排期'!I7-'合同排期'!H7+1),0)+IF(AND(19&gt;='合同排期'!J7,19&lt;'合同排期'!J7+12),'合同排期'!O7,0)+W18*'假设'!D47</x:f>
        <x:v>0</x:v>
      </x:c>
      <x:c r="X20" s="8" t="n">
        <x:f>IF(AND(20&gt;='合同排期'!H7,20&lt;='合同排期'!I7),'合同排期'!N7/('合同排期'!I7-'合同排期'!H7+1),0)+IF(AND(20&gt;='合同排期'!J7,20&lt;'合同排期'!J7+12),'合同排期'!O7,0)+X18*'假设'!D47</x:f>
        <x:v>0</x:v>
      </x:c>
      <x:c r="Y20" s="8" t="n">
        <x:f>IF(AND(21&gt;='合同排期'!H7,21&lt;='合同排期'!I7),'合同排期'!N7/('合同排期'!I7-'合同排期'!H7+1),0)+IF(AND(21&gt;='合同排期'!J7,21&lt;'合同排期'!J7+12),'合同排期'!O7,0)+Y18*'假设'!D47</x:f>
        <x:v>0</x:v>
      </x:c>
      <x:c r="Z20" s="8" t="n">
        <x:f>IF(AND(22&gt;='合同排期'!H7,22&lt;='合同排期'!I7),'合同排期'!N7/('合同排期'!I7-'合同排期'!H7+1),0)+IF(AND(22&gt;='合同排期'!J7,22&lt;'合同排期'!J7+12),'合同排期'!O7,0)+Z18*'假设'!D47</x:f>
        <x:v>0</x:v>
      </x:c>
      <x:c r="AA20" s="8" t="n">
        <x:f>IF(AND(23&gt;='合同排期'!H7,23&lt;='合同排期'!I7),'合同排期'!N7/('合同排期'!I7-'合同排期'!H7+1),0)+IF(AND(23&gt;='合同排期'!J7,23&lt;'合同排期'!J7+12),'合同排期'!O7,0)+AA18*'假设'!D47</x:f>
        <x:v>0</x:v>
      </x:c>
      <x:c r="AB20" s="8" t="n">
        <x:f>IF(AND(24&gt;='合同排期'!H7,24&lt;='合同排期'!I7),'合同排期'!N7/('合同排期'!I7-'合同排期'!H7+1),0)+IF(AND(24&gt;='合同排期'!J7,24&lt;'合同排期'!J7+12),'合同排期'!O7,0)+AB18*'假设'!D47</x:f>
        <x:v>0</x:v>
      </x:c>
    </x:row>
    <x:row r="21" ht="23" customHeight="1">
      <x:c r="A21" s="1"/>
      <x:c r="B21" s="1"/>
      <x:c r="C21" s="1" t="str">
        <x:v>P02</x:v>
      </x:c>
      <x:c r="D21" s="1" t="str">
        <x:v>工程交付人月</x:v>
      </x:c>
      <x:c r="E21" s="8" t="n">
        <x:f>IF(AND(1&gt;='合同排期'!H7,1&lt;='合同排期'!I7),'合同排期'!M7/('合同排期'!I7-'合同排期'!H7+1),0)</x:f>
        <x:v>0</x:v>
      </x:c>
      <x:c r="F21" s="8" t="n">
        <x:f>IF(AND(2&gt;='合同排期'!H7,2&lt;='合同排期'!I7),'合同排期'!M7/('合同排期'!I7-'合同排期'!H7+1),0)</x:f>
        <x:v>0</x:v>
      </x:c>
      <x:c r="G21" s="8" t="n">
        <x:f>IF(AND(3&gt;='合同排期'!H7,3&lt;='合同排期'!I7),'合同排期'!M7/('合同排期'!I7-'合同排期'!H7+1),0)</x:f>
        <x:v>0</x:v>
      </x:c>
      <x:c r="H21" s="8" t="n">
        <x:f>IF(AND(4&gt;='合同排期'!H7,4&lt;='合同排期'!I7),'合同排期'!M7/('合同排期'!I7-'合同排期'!H7+1),0)</x:f>
        <x:v>1.5</x:v>
      </x:c>
      <x:c r="I21" s="8" t="n">
        <x:f>IF(AND(5&gt;='合同排期'!H7,5&lt;='合同排期'!I7),'合同排期'!M7/('合同排期'!I7-'合同排期'!H7+1),0)</x:f>
        <x:v>1.5</x:v>
      </x:c>
      <x:c r="J21" s="8" t="n">
        <x:f>IF(AND(6&gt;='合同排期'!H7,6&lt;='合同排期'!I7),'合同排期'!M7/('合同排期'!I7-'合同排期'!H7+1),0)</x:f>
        <x:v>0</x:v>
      </x:c>
      <x:c r="K21" s="8" t="n">
        <x:f>IF(AND(7&gt;='合同排期'!H7,7&lt;='合同排期'!I7),'合同排期'!M7/('合同排期'!I7-'合同排期'!H7+1),0)</x:f>
        <x:v>0</x:v>
      </x:c>
      <x:c r="L21" s="8" t="n">
        <x:f>IF(AND(8&gt;='合同排期'!H7,8&lt;='合同排期'!I7),'合同排期'!M7/('合同排期'!I7-'合同排期'!H7+1),0)</x:f>
        <x:v>0</x:v>
      </x:c>
      <x:c r="M21" s="8" t="n">
        <x:f>IF(AND(9&gt;='合同排期'!H7,9&lt;='合同排期'!I7),'合同排期'!M7/('合同排期'!I7-'合同排期'!H7+1),0)</x:f>
        <x:v>0</x:v>
      </x:c>
      <x:c r="N21" s="8" t="n">
        <x:f>IF(AND(10&gt;='合同排期'!H7,10&lt;='合同排期'!I7),'合同排期'!M7/('合同排期'!I7-'合同排期'!H7+1),0)</x:f>
        <x:v>0</x:v>
      </x:c>
      <x:c r="O21" s="8" t="n">
        <x:f>IF(AND(11&gt;='合同排期'!H7,11&lt;='合同排期'!I7),'合同排期'!M7/('合同排期'!I7-'合同排期'!H7+1),0)</x:f>
        <x:v>0</x:v>
      </x:c>
      <x:c r="P21" s="8" t="n">
        <x:f>IF(AND(12&gt;='合同排期'!H7,12&lt;='合同排期'!I7),'合同排期'!M7/('合同排期'!I7-'合同排期'!H7+1),0)</x:f>
        <x:v>0</x:v>
      </x:c>
      <x:c r="Q21" s="8" t="n">
        <x:f>IF(AND(13&gt;='合同排期'!H7,13&lt;='合同排期'!I7),'合同排期'!M7/('合同排期'!I7-'合同排期'!H7+1),0)</x:f>
        <x:v>0</x:v>
      </x:c>
      <x:c r="R21" s="8" t="n">
        <x:f>IF(AND(14&gt;='合同排期'!H7,14&lt;='合同排期'!I7),'合同排期'!M7/('合同排期'!I7-'合同排期'!H7+1),0)</x:f>
        <x:v>0</x:v>
      </x:c>
      <x:c r="S21" s="8" t="n">
        <x:f>IF(AND(15&gt;='合同排期'!H7,15&lt;='合同排期'!I7),'合同排期'!M7/('合同排期'!I7-'合同排期'!H7+1),0)</x:f>
        <x:v>0</x:v>
      </x:c>
      <x:c r="T21" s="8" t="n">
        <x:f>IF(AND(16&gt;='合同排期'!H7,16&lt;='合同排期'!I7),'合同排期'!M7/('合同排期'!I7-'合同排期'!H7+1),0)</x:f>
        <x:v>0</x:v>
      </x:c>
      <x:c r="U21" s="8" t="n">
        <x:f>IF(AND(17&gt;='合同排期'!H7,17&lt;='合同排期'!I7),'合同排期'!M7/('合同排期'!I7-'合同排期'!H7+1),0)</x:f>
        <x:v>0</x:v>
      </x:c>
      <x:c r="V21" s="8" t="n">
        <x:f>IF(AND(18&gt;='合同排期'!H7,18&lt;='合同排期'!I7),'合同排期'!M7/('合同排期'!I7-'合同排期'!H7+1),0)</x:f>
        <x:v>0</x:v>
      </x:c>
      <x:c r="W21" s="8" t="n">
        <x:f>IF(AND(19&gt;='合同排期'!H7,19&lt;='合同排期'!I7),'合同排期'!M7/('合同排期'!I7-'合同排期'!H7+1),0)</x:f>
        <x:v>0</x:v>
      </x:c>
      <x:c r="X21" s="8" t="n">
        <x:f>IF(AND(20&gt;='合同排期'!H7,20&lt;='合同排期'!I7),'合同排期'!M7/('合同排期'!I7-'合同排期'!H7+1),0)</x:f>
        <x:v>0</x:v>
      </x:c>
      <x:c r="Y21" s="8" t="n">
        <x:f>IF(AND(21&gt;='合同排期'!H7,21&lt;='合同排期'!I7),'合同排期'!M7/('合同排期'!I7-'合同排期'!H7+1),0)</x:f>
        <x:v>0</x:v>
      </x:c>
      <x:c r="Z21" s="8" t="n">
        <x:f>IF(AND(22&gt;='合同排期'!H7,22&lt;='合同排期'!I7),'合同排期'!M7/('合同排期'!I7-'合同排期'!H7+1),0)</x:f>
        <x:v>0</x:v>
      </x:c>
      <x:c r="AA21" s="8" t="n">
        <x:f>IF(AND(23&gt;='合同排期'!H7,23&lt;='合同排期'!I7),'合同排期'!M7/('合同排期'!I7-'合同排期'!H7+1),0)</x:f>
        <x:v>0</x:v>
      </x:c>
      <x:c r="AB21" s="8" t="n">
        <x:f>IF(AND(24&gt;='合同排期'!H7,24&lt;='合同排期'!I7),'合同排期'!M7/('合同排期'!I7-'合同排期'!H7+1),0)</x:f>
        <x:v>0</x:v>
      </x:c>
    </x:row>
    <x:row r="22" ht="23" customHeight="1">
      <x:c r="A22" s="1"/>
      <x:c r="B22" s="1"/>
      <x:c r="C22" s="1" t="str">
        <x:v>P02</x:v>
      </x:c>
      <x:c r="D22" s="1" t="str">
        <x:v>生效ARR</x:v>
      </x:c>
      <x:c r="E22" s="8" t="n">
        <x:f>IF(AND(1&gt;='合同排期'!J7,1&lt;'合同排期'!J7+12),'合同排期'!L7,0)</x:f>
        <x:v>0</x:v>
      </x:c>
      <x:c r="F22" s="8" t="n">
        <x:f>IF(AND(2&gt;='合同排期'!J7,2&lt;'合同排期'!J7+12),'合同排期'!L7,0)</x:f>
        <x:v>0</x:v>
      </x:c>
      <x:c r="G22" s="8" t="n">
        <x:f>IF(AND(3&gt;='合同排期'!J7,3&lt;'合同排期'!J7+12),'合同排期'!L7,0)</x:f>
        <x:v>0</x:v>
      </x:c>
      <x:c r="H22" s="8" t="n">
        <x:f>IF(AND(4&gt;='合同排期'!J7,4&lt;'合同排期'!J7+12),'合同排期'!L7,0)</x:f>
        <x:v>0</x:v>
      </x:c>
      <x:c r="I22" s="8" t="n">
        <x:f>IF(AND(5&gt;='合同排期'!J7,5&lt;'合同排期'!J7+12),'合同排期'!L7,0)</x:f>
        <x:v>0</x:v>
      </x:c>
      <x:c r="J22" s="8" t="n">
        <x:f>IF(AND(6&gt;='合同排期'!J7,6&lt;'合同排期'!J7+12),'合同排期'!L7,0)</x:f>
        <x:v>0</x:v>
      </x:c>
      <x:c r="K22" s="8" t="n">
        <x:f>IF(AND(7&gt;='合同排期'!J7,7&lt;'合同排期'!J7+12),'合同排期'!L7,0)</x:f>
        <x:v>0</x:v>
      </x:c>
      <x:c r="L22" s="8" t="n">
        <x:f>IF(AND(8&gt;='合同排期'!J7,8&lt;'合同排期'!J7+12),'合同排期'!L7,0)</x:f>
        <x:v>0</x:v>
      </x:c>
      <x:c r="M22" s="8" t="n">
        <x:f>IF(AND(9&gt;='合同排期'!J7,9&lt;'合同排期'!J7+12),'合同排期'!L7,0)</x:f>
        <x:v>0</x:v>
      </x:c>
      <x:c r="N22" s="8" t="n">
        <x:f>IF(AND(10&gt;='合同排期'!J7,10&lt;'合同排期'!J7+12),'合同排期'!L7,0)</x:f>
        <x:v>0</x:v>
      </x:c>
      <x:c r="O22" s="8" t="n">
        <x:f>IF(AND(11&gt;='合同排期'!J7,11&lt;'合同排期'!J7+12),'合同排期'!L7,0)</x:f>
        <x:v>0</x:v>
      </x:c>
      <x:c r="P22" s="8" t="n">
        <x:f>IF(AND(12&gt;='合同排期'!J7,12&lt;'合同排期'!J7+12),'合同排期'!L7,0)</x:f>
        <x:v>0</x:v>
      </x:c>
      <x:c r="Q22" s="8" t="n">
        <x:f>IF(AND(13&gt;='合同排期'!J7,13&lt;'合同排期'!J7+12),'合同排期'!L7,0)</x:f>
        <x:v>0</x:v>
      </x:c>
      <x:c r="R22" s="8" t="n">
        <x:f>IF(AND(14&gt;='合同排期'!J7,14&lt;'合同排期'!J7+12),'合同排期'!L7,0)</x:f>
        <x:v>0</x:v>
      </x:c>
      <x:c r="S22" s="8" t="n">
        <x:f>IF(AND(15&gt;='合同排期'!J7,15&lt;'合同排期'!J7+12),'合同排期'!L7,0)</x:f>
        <x:v>0</x:v>
      </x:c>
      <x:c r="T22" s="8" t="n">
        <x:f>IF(AND(16&gt;='合同排期'!J7,16&lt;'合同排期'!J7+12),'合同排期'!L7,0)</x:f>
        <x:v>0</x:v>
      </x:c>
      <x:c r="U22" s="8" t="n">
        <x:f>IF(AND(17&gt;='合同排期'!J7,17&lt;'合同排期'!J7+12),'合同排期'!L7,0)</x:f>
        <x:v>0</x:v>
      </x:c>
      <x:c r="V22" s="8" t="n">
        <x:f>IF(AND(18&gt;='合同排期'!J7,18&lt;'合同排期'!J7+12),'合同排期'!L7,0)</x:f>
        <x:v>0</x:v>
      </x:c>
      <x:c r="W22" s="8" t="n">
        <x:f>IF(AND(19&gt;='合同排期'!J7,19&lt;'合同排期'!J7+12),'合同排期'!L7,0)</x:f>
        <x:v>0</x:v>
      </x:c>
      <x:c r="X22" s="8" t="n">
        <x:f>IF(AND(20&gt;='合同排期'!J7,20&lt;'合同排期'!J7+12),'合同排期'!L7,0)</x:f>
        <x:v>0</x:v>
      </x:c>
      <x:c r="Y22" s="8" t="n">
        <x:f>IF(AND(21&gt;='合同排期'!J7,21&lt;'合同排期'!J7+12),'合同排期'!L7,0)</x:f>
        <x:v>0</x:v>
      </x:c>
      <x:c r="Z22" s="8" t="n">
        <x:f>IF(AND(22&gt;='合同排期'!J7,22&lt;'合同排期'!J7+12),'合同排期'!L7,0)</x:f>
        <x:v>0</x:v>
      </x:c>
      <x:c r="AA22" s="8" t="n">
        <x:f>IF(AND(23&gt;='合同排期'!J7,23&lt;'合同排期'!J7+12),'合同排期'!L7,0)</x:f>
        <x:v>0</x:v>
      </x:c>
      <x:c r="AB22" s="8" t="n">
        <x:f>IF(AND(24&gt;='合同排期'!J7,24&lt;'合同排期'!J7+12),'合同排期'!L7,0)</x:f>
        <x:v>0</x:v>
      </x:c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  <x:c r="AA23" s="1"/>
      <x:c r="AB23" s="1"/>
    </x:row>
    <x:row r="24" ht="23" customHeight="1">
      <x:c r="A24" s="1"/>
      <x:c r="B24" s="1"/>
      <x:c r="C24" s="1" t="str">
        <x:v>P03</x:v>
      </x:c>
      <x:c r="D24" s="1" t="str">
        <x:v>净签约</x:v>
      </x:c>
      <x:c r="E24" s="8" t="n">
        <x:f>IF(1='合同排期'!H8,'合同排期'!K8+'合同排期'!L8,0)</x:f>
        <x:v>0</x:v>
      </x:c>
      <x:c r="F24" s="8" t="n">
        <x:f>IF(2='合同排期'!H8,'合同排期'!K8+'合同排期'!L8,0)</x:f>
        <x:v>0</x:v>
      </x:c>
      <x:c r="G24" s="8" t="n">
        <x:f>IF(3='合同排期'!H8,'合同排期'!K8+'合同排期'!L8,0)</x:f>
        <x:v>0</x:v>
      </x:c>
      <x:c r="H24" s="8" t="n">
        <x:f>IF(4='合同排期'!H8,'合同排期'!K8+'合同排期'!L8,0)</x:f>
        <x:v>0</x:v>
      </x:c>
      <x:c r="I24" s="8" t="n">
        <x:f>IF(5='合同排期'!H8,'合同排期'!K8+'合同排期'!L8,0)</x:f>
        <x:v>8</x:v>
      </x:c>
      <x:c r="J24" s="8" t="n">
        <x:f>IF(6='合同排期'!H8,'合同排期'!K8+'合同排期'!L8,0)</x:f>
        <x:v>0</x:v>
      </x:c>
      <x:c r="K24" s="8" t="n">
        <x:f>IF(7='合同排期'!H8,'合同排期'!K8+'合同排期'!L8,0)</x:f>
        <x:v>0</x:v>
      </x:c>
      <x:c r="L24" s="8" t="n">
        <x:f>IF(8='合同排期'!H8,'合同排期'!K8+'合同排期'!L8,0)</x:f>
        <x:v>0</x:v>
      </x:c>
      <x:c r="M24" s="8" t="n">
        <x:f>IF(9='合同排期'!H8,'合同排期'!K8+'合同排期'!L8,0)</x:f>
        <x:v>0</x:v>
      </x:c>
      <x:c r="N24" s="8" t="n">
        <x:f>IF(10='合同排期'!H8,'合同排期'!K8+'合同排期'!L8,0)</x:f>
        <x:v>0</x:v>
      </x:c>
      <x:c r="O24" s="8" t="n">
        <x:f>IF(11='合同排期'!H8,'合同排期'!K8+'合同排期'!L8,0)</x:f>
        <x:v>0</x:v>
      </x:c>
      <x:c r="P24" s="8" t="n">
        <x:f>IF(12='合同排期'!H8,'合同排期'!K8+'合同排期'!L8,0)</x:f>
        <x:v>0</x:v>
      </x:c>
      <x:c r="Q24" s="8" t="n">
        <x:f>IF(13='合同排期'!H8,'合同排期'!K8+'合同排期'!L8,0)</x:f>
        <x:v>0</x:v>
      </x:c>
      <x:c r="R24" s="8" t="n">
        <x:f>IF(14='合同排期'!H8,'合同排期'!K8+'合同排期'!L8,0)</x:f>
        <x:v>0</x:v>
      </x:c>
      <x:c r="S24" s="8" t="n">
        <x:f>IF(15='合同排期'!H8,'合同排期'!K8+'合同排期'!L8,0)</x:f>
        <x:v>0</x:v>
      </x:c>
      <x:c r="T24" s="8" t="n">
        <x:f>IF(16='合同排期'!H8,'合同排期'!K8+'合同排期'!L8,0)</x:f>
        <x:v>0</x:v>
      </x:c>
      <x:c r="U24" s="8" t="n">
        <x:f>IF(17='合同排期'!H8,'合同排期'!K8+'合同排期'!L8,0)</x:f>
        <x:v>0</x:v>
      </x:c>
      <x:c r="V24" s="8" t="n">
        <x:f>IF(18='合同排期'!H8,'合同排期'!K8+'合同排期'!L8,0)</x:f>
        <x:v>0</x:v>
      </x:c>
      <x:c r="W24" s="8" t="n">
        <x:f>IF(19='合同排期'!H8,'合同排期'!K8+'合同排期'!L8,0)</x:f>
        <x:v>0</x:v>
      </x:c>
      <x:c r="X24" s="8" t="n">
        <x:f>IF(20='合同排期'!H8,'合同排期'!K8+'合同排期'!L8,0)</x:f>
        <x:v>0</x:v>
      </x:c>
      <x:c r="Y24" s="8" t="n">
        <x:f>IF(21='合同排期'!H8,'合同排期'!K8+'合同排期'!L8,0)</x:f>
        <x:v>0</x:v>
      </x:c>
      <x:c r="Z24" s="8" t="n">
        <x:f>IF(22='合同排期'!H8,'合同排期'!K8+'合同排期'!L8,0)</x:f>
        <x:v>0</x:v>
      </x:c>
      <x:c r="AA24" s="8" t="n">
        <x:f>IF(23='合同排期'!H8,'合同排期'!K8+'合同排期'!L8,0)</x:f>
        <x:v>0</x:v>
      </x:c>
      <x:c r="AB24" s="8" t="n">
        <x:f>IF(24='合同排期'!H8,'合同排期'!K8+'合同排期'!L8,0)</x:f>
        <x:v>0</x:v>
      </x:c>
    </x:row>
    <x:row r="25" ht="23" customHeight="1">
      <x:c r="A25" s="1"/>
      <x:c r="B25" s="1"/>
      <x:c r="C25" s="1" t="str">
        <x:v>P03</x:v>
      </x:c>
      <x:c r="D25" s="1" t="str">
        <x:v>确认收入</x:v>
      </x:c>
      <x:c r="E25" s="8" t="n">
        <x:f>IF(1='合同排期'!I8,'合同排期'!K8,0)+IF(AND(1&gt;='合同排期'!J8,1&lt;'合同排期'!J8+12),'合同排期'!L8/12,0)</x:f>
        <x:v>0</x:v>
      </x:c>
      <x:c r="F25" s="8" t="n">
        <x:f>IF(2='合同排期'!I8,'合同排期'!K8,0)+IF(AND(2&gt;='合同排期'!J8,2&lt;'合同排期'!J8+12),'合同排期'!L8/12,0)</x:f>
        <x:v>0</x:v>
      </x:c>
      <x:c r="G25" s="8" t="n">
        <x:f>IF(3='合同排期'!I8,'合同排期'!K8,0)+IF(AND(3&gt;='合同排期'!J8,3&lt;'合同排期'!J8+12),'合同排期'!L8/12,0)</x:f>
        <x:v>0</x:v>
      </x:c>
      <x:c r="H25" s="8" t="n">
        <x:f>IF(4='合同排期'!I8,'合同排期'!K8,0)+IF(AND(4&gt;='合同排期'!J8,4&lt;'合同排期'!J8+12),'合同排期'!L8/12,0)</x:f>
        <x:v>0</x:v>
      </x:c>
      <x:c r="I25" s="8" t="n">
        <x:f>IF(5='合同排期'!I8,'合同排期'!K8,0)+IF(AND(5&gt;='合同排期'!J8,5&lt;'合同排期'!J8+12),'合同排期'!L8/12,0)</x:f>
        <x:v>0</x:v>
      </x:c>
      <x:c r="J25" s="8" t="n">
        <x:f>IF(6='合同排期'!I8,'合同排期'!K8,0)+IF(AND(6&gt;='合同排期'!J8,6&lt;'合同排期'!J8+12),'合同排期'!L8/12,0)</x:f>
        <x:v>8</x:v>
      </x:c>
      <x:c r="K25" s="8" t="n">
        <x:f>IF(7='合同排期'!I8,'合同排期'!K8,0)+IF(AND(7&gt;='合同排期'!J8,7&lt;'合同排期'!J8+12),'合同排期'!L8/12,0)</x:f>
        <x:v>0</x:v>
      </x:c>
      <x:c r="L25" s="8" t="n">
        <x:f>IF(8='合同排期'!I8,'合同排期'!K8,0)+IF(AND(8&gt;='合同排期'!J8,8&lt;'合同排期'!J8+12),'合同排期'!L8/12,0)</x:f>
        <x:v>0</x:v>
      </x:c>
      <x:c r="M25" s="8" t="n">
        <x:f>IF(9='合同排期'!I8,'合同排期'!K8,0)+IF(AND(9&gt;='合同排期'!J8,9&lt;'合同排期'!J8+12),'合同排期'!L8/12,0)</x:f>
        <x:v>0</x:v>
      </x:c>
      <x:c r="N25" s="8" t="n">
        <x:f>IF(10='合同排期'!I8,'合同排期'!K8,0)+IF(AND(10&gt;='合同排期'!J8,10&lt;'合同排期'!J8+12),'合同排期'!L8/12,0)</x:f>
        <x:v>0</x:v>
      </x:c>
      <x:c r="O25" s="8" t="n">
        <x:f>IF(11='合同排期'!I8,'合同排期'!K8,0)+IF(AND(11&gt;='合同排期'!J8,11&lt;'合同排期'!J8+12),'合同排期'!L8/12,0)</x:f>
        <x:v>0</x:v>
      </x:c>
      <x:c r="P25" s="8" t="n">
        <x:f>IF(12='合同排期'!I8,'合同排期'!K8,0)+IF(AND(12&gt;='合同排期'!J8,12&lt;'合同排期'!J8+12),'合同排期'!L8/12,0)</x:f>
        <x:v>0</x:v>
      </x:c>
      <x:c r="Q25" s="8" t="n">
        <x:f>IF(13='合同排期'!I8,'合同排期'!K8,0)+IF(AND(13&gt;='合同排期'!J8,13&lt;'合同排期'!J8+12),'合同排期'!L8/12,0)</x:f>
        <x:v>0</x:v>
      </x:c>
      <x:c r="R25" s="8" t="n">
        <x:f>IF(14='合同排期'!I8,'合同排期'!K8,0)+IF(AND(14&gt;='合同排期'!J8,14&lt;'合同排期'!J8+12),'合同排期'!L8/12,0)</x:f>
        <x:v>0</x:v>
      </x:c>
      <x:c r="S25" s="8" t="n">
        <x:f>IF(15='合同排期'!I8,'合同排期'!K8,0)+IF(AND(15&gt;='合同排期'!J8,15&lt;'合同排期'!J8+12),'合同排期'!L8/12,0)</x:f>
        <x:v>0</x:v>
      </x:c>
      <x:c r="T25" s="8" t="n">
        <x:f>IF(16='合同排期'!I8,'合同排期'!K8,0)+IF(AND(16&gt;='合同排期'!J8,16&lt;'合同排期'!J8+12),'合同排期'!L8/12,0)</x:f>
        <x:v>0</x:v>
      </x:c>
      <x:c r="U25" s="8" t="n">
        <x:f>IF(17='合同排期'!I8,'合同排期'!K8,0)+IF(AND(17&gt;='合同排期'!J8,17&lt;'合同排期'!J8+12),'合同排期'!L8/12,0)</x:f>
        <x:v>0</x:v>
      </x:c>
      <x:c r="V25" s="8" t="n">
        <x:f>IF(18='合同排期'!I8,'合同排期'!K8,0)+IF(AND(18&gt;='合同排期'!J8,18&lt;'合同排期'!J8+12),'合同排期'!L8/12,0)</x:f>
        <x:v>0</x:v>
      </x:c>
      <x:c r="W25" s="8" t="n">
        <x:f>IF(19='合同排期'!I8,'合同排期'!K8,0)+IF(AND(19&gt;='合同排期'!J8,19&lt;'合同排期'!J8+12),'合同排期'!L8/12,0)</x:f>
        <x:v>0</x:v>
      </x:c>
      <x:c r="X25" s="8" t="n">
        <x:f>IF(20='合同排期'!I8,'合同排期'!K8,0)+IF(AND(20&gt;='合同排期'!J8,20&lt;'合同排期'!J8+12),'合同排期'!L8/12,0)</x:f>
        <x:v>0</x:v>
      </x:c>
      <x:c r="Y25" s="8" t="n">
        <x:f>IF(21='合同排期'!I8,'合同排期'!K8,0)+IF(AND(21&gt;='合同排期'!J8,21&lt;'合同排期'!J8+12),'合同排期'!L8/12,0)</x:f>
        <x:v>0</x:v>
      </x:c>
      <x:c r="Z25" s="8" t="n">
        <x:f>IF(22='合同排期'!I8,'合同排期'!K8,0)+IF(AND(22&gt;='合同排期'!J8,22&lt;'合同排期'!J8+12),'合同排期'!L8/12,0)</x:f>
        <x:v>0</x:v>
      </x:c>
      <x:c r="AA25" s="8" t="n">
        <x:f>IF(23='合同排期'!I8,'合同排期'!K8,0)+IF(AND(23&gt;='合同排期'!J8,23&lt;'合同排期'!J8+12),'合同排期'!L8/12,0)</x:f>
        <x:v>0</x:v>
      </x:c>
      <x:c r="AB25" s="8" t="n">
        <x:f>IF(24='合同排期'!I8,'合同排期'!K8,0)+IF(AND(24&gt;='合同排期'!J8,24&lt;'合同排期'!J8+12),'合同排期'!L8/12,0)</x:f>
        <x:v>0</x:v>
      </x:c>
    </x:row>
    <x:row r="26" ht="23" customHeight="1">
      <x:c r="A26" s="1"/>
      <x:c r="B26" s="1"/>
      <x:c r="C26" s="1" t="str">
        <x:v>P03</x:v>
      </x:c>
      <x:c r="D26" s="1" t="str">
        <x:v>开票</x:v>
      </x:c>
      <x:c r="E26" s="8" t="n">
        <x:f>IF(1='合同排期'!H8,'合同排期'!K8*'合同排期'!P8,0)+IF(1='合同排期'!S8,'合同排期'!K8*'合同排期'!Q8,0)+IF(1='合同排期'!I8,'合同排期'!K8*'合同排期'!R8,0)+IF(1='合同排期'!J8,'合同排期'!L8,0)</x:f>
        <x:v>0</x:v>
      </x:c>
      <x:c r="F26" s="8" t="n">
        <x:f>IF(2='合同排期'!H8,'合同排期'!K8*'合同排期'!P8,0)+IF(2='合同排期'!S8,'合同排期'!K8*'合同排期'!Q8,0)+IF(2='合同排期'!I8,'合同排期'!K8*'合同排期'!R8,0)+IF(2='合同排期'!J8,'合同排期'!L8,0)</x:f>
        <x:v>0</x:v>
      </x:c>
      <x:c r="G26" s="8" t="n">
        <x:f>IF(3='合同排期'!H8,'合同排期'!K8*'合同排期'!P8,0)+IF(3='合同排期'!S8,'合同排期'!K8*'合同排期'!Q8,0)+IF(3='合同排期'!I8,'合同排期'!K8*'合同排期'!R8,0)+IF(3='合同排期'!J8,'合同排期'!L8,0)</x:f>
        <x:v>0</x:v>
      </x:c>
      <x:c r="H26" s="8" t="n">
        <x:f>IF(4='合同排期'!H8,'合同排期'!K8*'合同排期'!P8,0)+IF(4='合同排期'!S8,'合同排期'!K8*'合同排期'!Q8,0)+IF(4='合同排期'!I8,'合同排期'!K8*'合同排期'!R8,0)+IF(4='合同排期'!J8,'合同排期'!L8,0)</x:f>
        <x:v>0</x:v>
      </x:c>
      <x:c r="I26" s="8" t="n">
        <x:f>IF(5='合同排期'!H8,'合同排期'!K8*'合同排期'!P8,0)+IF(5='合同排期'!S8,'合同排期'!K8*'合同排期'!Q8,0)+IF(5='合同排期'!I8,'合同排期'!K8*'合同排期'!R8,0)+IF(5='合同排期'!J8,'合同排期'!L8,0)</x:f>
        <x:v>2.4</x:v>
      </x:c>
      <x:c r="J26" s="8" t="n">
        <x:f>IF(6='合同排期'!H8,'合同排期'!K8*'合同排期'!P8,0)+IF(6='合同排期'!S8,'合同排期'!K8*'合同排期'!Q8,0)+IF(6='合同排期'!I8,'合同排期'!K8*'合同排期'!R8,0)+IF(6='合同排期'!J8,'合同排期'!L8,0)</x:f>
        <x:v>5.6</x:v>
      </x:c>
      <x:c r="K26" s="8" t="n">
        <x:f>IF(7='合同排期'!H8,'合同排期'!K8*'合同排期'!P8,0)+IF(7='合同排期'!S8,'合同排期'!K8*'合同排期'!Q8,0)+IF(7='合同排期'!I8,'合同排期'!K8*'合同排期'!R8,0)+IF(7='合同排期'!J8,'合同排期'!L8,0)</x:f>
        <x:v>0</x:v>
      </x:c>
      <x:c r="L26" s="8" t="n">
        <x:f>IF(8='合同排期'!H8,'合同排期'!K8*'合同排期'!P8,0)+IF(8='合同排期'!S8,'合同排期'!K8*'合同排期'!Q8,0)+IF(8='合同排期'!I8,'合同排期'!K8*'合同排期'!R8,0)+IF(8='合同排期'!J8,'合同排期'!L8,0)</x:f>
        <x:v>0</x:v>
      </x:c>
      <x:c r="M26" s="8" t="n">
        <x:f>IF(9='合同排期'!H8,'合同排期'!K8*'合同排期'!P8,0)+IF(9='合同排期'!S8,'合同排期'!K8*'合同排期'!Q8,0)+IF(9='合同排期'!I8,'合同排期'!K8*'合同排期'!R8,0)+IF(9='合同排期'!J8,'合同排期'!L8,0)</x:f>
        <x:v>0</x:v>
      </x:c>
      <x:c r="N26" s="8" t="n">
        <x:f>IF(10='合同排期'!H8,'合同排期'!K8*'合同排期'!P8,0)+IF(10='合同排期'!S8,'合同排期'!K8*'合同排期'!Q8,0)+IF(10='合同排期'!I8,'合同排期'!K8*'合同排期'!R8,0)+IF(10='合同排期'!J8,'合同排期'!L8,0)</x:f>
        <x:v>0</x:v>
      </x:c>
      <x:c r="O26" s="8" t="n">
        <x:f>IF(11='合同排期'!H8,'合同排期'!K8*'合同排期'!P8,0)+IF(11='合同排期'!S8,'合同排期'!K8*'合同排期'!Q8,0)+IF(11='合同排期'!I8,'合同排期'!K8*'合同排期'!R8,0)+IF(11='合同排期'!J8,'合同排期'!L8,0)</x:f>
        <x:v>0</x:v>
      </x:c>
      <x:c r="P26" s="8" t="n">
        <x:f>IF(12='合同排期'!H8,'合同排期'!K8*'合同排期'!P8,0)+IF(12='合同排期'!S8,'合同排期'!K8*'合同排期'!Q8,0)+IF(12='合同排期'!I8,'合同排期'!K8*'合同排期'!R8,0)+IF(12='合同排期'!J8,'合同排期'!L8,0)</x:f>
        <x:v>0</x:v>
      </x:c>
      <x:c r="Q26" s="8" t="n">
        <x:f>IF(13='合同排期'!H8,'合同排期'!K8*'合同排期'!P8,0)+IF(13='合同排期'!S8,'合同排期'!K8*'合同排期'!Q8,0)+IF(13='合同排期'!I8,'合同排期'!K8*'合同排期'!R8,0)+IF(13='合同排期'!J8,'合同排期'!L8,0)</x:f>
        <x:v>0</x:v>
      </x:c>
      <x:c r="R26" s="8" t="n">
        <x:f>IF(14='合同排期'!H8,'合同排期'!K8*'合同排期'!P8,0)+IF(14='合同排期'!S8,'合同排期'!K8*'合同排期'!Q8,0)+IF(14='合同排期'!I8,'合同排期'!K8*'合同排期'!R8,0)+IF(14='合同排期'!J8,'合同排期'!L8,0)</x:f>
        <x:v>0</x:v>
      </x:c>
      <x:c r="S26" s="8" t="n">
        <x:f>IF(15='合同排期'!H8,'合同排期'!K8*'合同排期'!P8,0)+IF(15='合同排期'!S8,'合同排期'!K8*'合同排期'!Q8,0)+IF(15='合同排期'!I8,'合同排期'!K8*'合同排期'!R8,0)+IF(15='合同排期'!J8,'合同排期'!L8,0)</x:f>
        <x:v>0</x:v>
      </x:c>
      <x:c r="T26" s="8" t="n">
        <x:f>IF(16='合同排期'!H8,'合同排期'!K8*'合同排期'!P8,0)+IF(16='合同排期'!S8,'合同排期'!K8*'合同排期'!Q8,0)+IF(16='合同排期'!I8,'合同排期'!K8*'合同排期'!R8,0)+IF(16='合同排期'!J8,'合同排期'!L8,0)</x:f>
        <x:v>0</x:v>
      </x:c>
      <x:c r="U26" s="8" t="n">
        <x:f>IF(17='合同排期'!H8,'合同排期'!K8*'合同排期'!P8,0)+IF(17='合同排期'!S8,'合同排期'!K8*'合同排期'!Q8,0)+IF(17='合同排期'!I8,'合同排期'!K8*'合同排期'!R8,0)+IF(17='合同排期'!J8,'合同排期'!L8,0)</x:f>
        <x:v>0</x:v>
      </x:c>
      <x:c r="V26" s="8" t="n">
        <x:f>IF(18='合同排期'!H8,'合同排期'!K8*'合同排期'!P8,0)+IF(18='合同排期'!S8,'合同排期'!K8*'合同排期'!Q8,0)+IF(18='合同排期'!I8,'合同排期'!K8*'合同排期'!R8,0)+IF(18='合同排期'!J8,'合同排期'!L8,0)</x:f>
        <x:v>0</x:v>
      </x:c>
      <x:c r="W26" s="8" t="n">
        <x:f>IF(19='合同排期'!H8,'合同排期'!K8*'合同排期'!P8,0)+IF(19='合同排期'!S8,'合同排期'!K8*'合同排期'!Q8,0)+IF(19='合同排期'!I8,'合同排期'!K8*'合同排期'!R8,0)+IF(19='合同排期'!J8,'合同排期'!L8,0)</x:f>
        <x:v>0</x:v>
      </x:c>
      <x:c r="X26" s="8" t="n">
        <x:f>IF(20='合同排期'!H8,'合同排期'!K8*'合同排期'!P8,0)+IF(20='合同排期'!S8,'合同排期'!K8*'合同排期'!Q8,0)+IF(20='合同排期'!I8,'合同排期'!K8*'合同排期'!R8,0)+IF(20='合同排期'!J8,'合同排期'!L8,0)</x:f>
        <x:v>0</x:v>
      </x:c>
      <x:c r="Y26" s="8" t="n">
        <x:f>IF(21='合同排期'!H8,'合同排期'!K8*'合同排期'!P8,0)+IF(21='合同排期'!S8,'合同排期'!K8*'合同排期'!Q8,0)+IF(21='合同排期'!I8,'合同排期'!K8*'合同排期'!R8,0)+IF(21='合同排期'!J8,'合同排期'!L8,0)</x:f>
        <x:v>0</x:v>
      </x:c>
      <x:c r="Z26" s="8" t="n">
        <x:f>IF(22='合同排期'!H8,'合同排期'!K8*'合同排期'!P8,0)+IF(22='合同排期'!S8,'合同排期'!K8*'合同排期'!Q8,0)+IF(22='合同排期'!I8,'合同排期'!K8*'合同排期'!R8,0)+IF(22='合同排期'!J8,'合同排期'!L8,0)</x:f>
        <x:v>0</x:v>
      </x:c>
      <x:c r="AA26" s="8" t="n">
        <x:f>IF(23='合同排期'!H8,'合同排期'!K8*'合同排期'!P8,0)+IF(23='合同排期'!S8,'合同排期'!K8*'合同排期'!Q8,0)+IF(23='合同排期'!I8,'合同排期'!K8*'合同排期'!R8,0)+IF(23='合同排期'!J8,'合同排期'!L8,0)</x:f>
        <x:v>0</x:v>
      </x:c>
      <x:c r="AB26" s="8" t="n">
        <x:f>IF(24='合同排期'!H8,'合同排期'!K8*'合同排期'!P8,0)+IF(24='合同排期'!S8,'合同排期'!K8*'合同排期'!Q8,0)+IF(24='合同排期'!I8,'合同排期'!K8*'合同排期'!R8,0)+IF(24='合同排期'!J8,'合同排期'!L8,0)</x:f>
        <x:v>0</x:v>
      </x:c>
    </x:row>
    <x:row r="27" ht="23" customHeight="1">
      <x:c r="A27" s="1"/>
      <x:c r="B27" s="1"/>
      <x:c r="C27" s="1" t="str">
        <x:v>P03</x:v>
      </x:c>
      <x:c r="D27" s="1" t="str">
        <x:v>回款</x:v>
      </x:c>
      <x:c r="E27" s="8" t="n">
        <x:f>IF(1&gt;'假设'!D27,INDEX($E26:$AB26,1,1-'假设'!D27),0)</x:f>
        <x:v>0</x:v>
      </x:c>
      <x:c r="F27" s="8" t="n">
        <x:f>IF(2&gt;'假设'!D27,INDEX($E26:$AB26,1,2-'假设'!D27),0)</x:f>
        <x:v>0</x:v>
      </x:c>
      <x:c r="G27" s="8" t="n">
        <x:f>IF(3&gt;'假设'!D27,INDEX($E26:$AB26,1,3-'假设'!D27),0)</x:f>
        <x:v>0</x:v>
      </x:c>
      <x:c r="H27" s="8" t="n">
        <x:f>IF(4&gt;'假设'!D27,INDEX($E26:$AB26,1,4-'假设'!D27),0)</x:f>
        <x:v>0</x:v>
      </x:c>
      <x:c r="I27" s="8" t="n">
        <x:f>IF(5&gt;'假设'!D27,INDEX($E26:$AB26,1,5-'假设'!D27),0)</x:f>
        <x:v>0</x:v>
      </x:c>
      <x:c r="J27" s="8" t="n">
        <x:f>IF(6&gt;'假设'!D27,INDEX($E26:$AB26,1,6-'假设'!D27),0)</x:f>
        <x:v>2.4</x:v>
      </x:c>
      <x:c r="K27" s="8" t="n">
        <x:f>IF(7&gt;'假设'!D27,INDEX($E26:$AB26,1,7-'假设'!D27),0)</x:f>
        <x:v>5.6</x:v>
      </x:c>
      <x:c r="L27" s="8" t="n">
        <x:f>IF(8&gt;'假设'!D27,INDEX($E26:$AB26,1,8-'假设'!D27),0)</x:f>
        <x:v>0</x:v>
      </x:c>
      <x:c r="M27" s="8" t="n">
        <x:f>IF(9&gt;'假设'!D27,INDEX($E26:$AB26,1,9-'假设'!D27),0)</x:f>
        <x:v>0</x:v>
      </x:c>
      <x:c r="N27" s="8" t="n">
        <x:f>IF(10&gt;'假设'!D27,INDEX($E26:$AB26,1,10-'假设'!D27),0)</x:f>
        <x:v>0</x:v>
      </x:c>
      <x:c r="O27" s="8" t="n">
        <x:f>IF(11&gt;'假设'!D27,INDEX($E26:$AB26,1,11-'假设'!D27),0)</x:f>
        <x:v>0</x:v>
      </x:c>
      <x:c r="P27" s="8" t="n">
        <x:f>IF(12&gt;'假设'!D27,INDEX($E26:$AB26,1,12-'假设'!D27),0)</x:f>
        <x:v>0</x:v>
      </x:c>
      <x:c r="Q27" s="8" t="n">
        <x:f>IF(13&gt;'假设'!D27,INDEX($E26:$AB26,1,13-'假设'!D27),0)</x:f>
        <x:v>0</x:v>
      </x:c>
      <x:c r="R27" s="8" t="n">
        <x:f>IF(14&gt;'假设'!D27,INDEX($E26:$AB26,1,14-'假设'!D27),0)</x:f>
        <x:v>0</x:v>
      </x:c>
      <x:c r="S27" s="8" t="n">
        <x:f>IF(15&gt;'假设'!D27,INDEX($E26:$AB26,1,15-'假设'!D27),0)</x:f>
        <x:v>0</x:v>
      </x:c>
      <x:c r="T27" s="8" t="n">
        <x:f>IF(16&gt;'假设'!D27,INDEX($E26:$AB26,1,16-'假设'!D27),0)</x:f>
        <x:v>0</x:v>
      </x:c>
      <x:c r="U27" s="8" t="n">
        <x:f>IF(17&gt;'假设'!D27,INDEX($E26:$AB26,1,17-'假设'!D27),0)</x:f>
        <x:v>0</x:v>
      </x:c>
      <x:c r="V27" s="8" t="n">
        <x:f>IF(18&gt;'假设'!D27,INDEX($E26:$AB26,1,18-'假设'!D27),0)</x:f>
        <x:v>0</x:v>
      </x:c>
      <x:c r="W27" s="8" t="n">
        <x:f>IF(19&gt;'假设'!D27,INDEX($E26:$AB26,1,19-'假设'!D27),0)</x:f>
        <x:v>0</x:v>
      </x:c>
      <x:c r="X27" s="8" t="n">
        <x:f>IF(20&gt;'假设'!D27,INDEX($E26:$AB26,1,20-'假设'!D27),0)</x:f>
        <x:v>0</x:v>
      </x:c>
      <x:c r="Y27" s="8" t="n">
        <x:f>IF(21&gt;'假设'!D27,INDEX($E26:$AB26,1,21-'假设'!D27),0)</x:f>
        <x:v>0</x:v>
      </x:c>
      <x:c r="Z27" s="8" t="n">
        <x:f>IF(22&gt;'假设'!D27,INDEX($E26:$AB26,1,22-'假设'!D27),0)</x:f>
        <x:v>0</x:v>
      </x:c>
      <x:c r="AA27" s="8" t="n">
        <x:f>IF(23&gt;'假设'!D27,INDEX($E26:$AB26,1,23-'假设'!D27),0)</x:f>
        <x:v>0</x:v>
      </x:c>
      <x:c r="AB27" s="8" t="n">
        <x:f>IF(24&gt;'假设'!D27,INDEX($E26:$AB26,1,24-'假设'!D27),0)</x:f>
        <x:v>0</x:v>
      </x:c>
    </x:row>
    <x:row r="28" ht="23" customHeight="1">
      <x:c r="A28" s="1"/>
      <x:c r="B28" s="1"/>
      <x:c r="C28" s="1" t="str">
        <x:v>P03</x:v>
      </x:c>
      <x:c r="D28" s="1" t="str">
        <x:v>直接损益成本</x:v>
      </x:c>
      <x:c r="E28" s="8" t="n">
        <x:f>IF(1='合同排期'!I8,'合同排期'!N8,0)+IF(AND(1&gt;='合同排期'!J8,1&lt;'合同排期'!J8+12),'合同排期'!O8,0)+E24*'假设'!D47</x:f>
        <x:v>0</x:v>
      </x:c>
      <x:c r="F28" s="8" t="n">
        <x:f>IF(2='合同排期'!I8,'合同排期'!N8,0)+IF(AND(2&gt;='合同排期'!J8,2&lt;'合同排期'!J8+12),'合同排期'!O8,0)+F24*'假设'!D47</x:f>
        <x:v>0</x:v>
      </x:c>
      <x:c r="G28" s="8" t="n">
        <x:f>IF(3='合同排期'!I8,'合同排期'!N8,0)+IF(AND(3&gt;='合同排期'!J8,3&lt;'合同排期'!J8+12),'合同排期'!O8,0)+G24*'假设'!D47</x:f>
        <x:v>0</x:v>
      </x:c>
      <x:c r="H28" s="8" t="n">
        <x:f>IF(4='合同排期'!I8,'合同排期'!N8,0)+IF(AND(4&gt;='合同排期'!J8,4&lt;'合同排期'!J8+12),'合同排期'!O8,0)+H24*'假设'!D47</x:f>
        <x:v>0</x:v>
      </x:c>
      <x:c r="I28" s="8" t="n">
        <x:f>IF(5='合同排期'!I8,'合同排期'!N8,0)+IF(AND(5&gt;='合同排期'!J8,5&lt;'合同排期'!J8+12),'合同排期'!O8,0)+I24*'假设'!D47</x:f>
        <x:v>0.4</x:v>
      </x:c>
      <x:c r="J28" s="8" t="n">
        <x:f>IF(6='合同排期'!I8,'合同排期'!N8,0)+IF(AND(6&gt;='合同排期'!J8,6&lt;'合同排期'!J8+12),'合同排期'!O8,0)+J24*'假设'!D47</x:f>
        <x:v>3.7</x:v>
      </x:c>
      <x:c r="K28" s="8" t="n">
        <x:f>IF(7='合同排期'!I8,'合同排期'!N8,0)+IF(AND(7&gt;='合同排期'!J8,7&lt;'合同排期'!J8+12),'合同排期'!O8,0)+K24*'假设'!D47</x:f>
        <x:v>0</x:v>
      </x:c>
      <x:c r="L28" s="8" t="n">
        <x:f>IF(8='合同排期'!I8,'合同排期'!N8,0)+IF(AND(8&gt;='合同排期'!J8,8&lt;'合同排期'!J8+12),'合同排期'!O8,0)+L24*'假设'!D47</x:f>
        <x:v>0</x:v>
      </x:c>
      <x:c r="M28" s="8" t="n">
        <x:f>IF(9='合同排期'!I8,'合同排期'!N8,0)+IF(AND(9&gt;='合同排期'!J8,9&lt;'合同排期'!J8+12),'合同排期'!O8,0)+M24*'假设'!D47</x:f>
        <x:v>0</x:v>
      </x:c>
      <x:c r="N28" s="8" t="n">
        <x:f>IF(10='合同排期'!I8,'合同排期'!N8,0)+IF(AND(10&gt;='合同排期'!J8,10&lt;'合同排期'!J8+12),'合同排期'!O8,0)+N24*'假设'!D47</x:f>
        <x:v>0</x:v>
      </x:c>
      <x:c r="O28" s="8" t="n">
        <x:f>IF(11='合同排期'!I8,'合同排期'!N8,0)+IF(AND(11&gt;='合同排期'!J8,11&lt;'合同排期'!J8+12),'合同排期'!O8,0)+O24*'假设'!D47</x:f>
        <x:v>0</x:v>
      </x:c>
      <x:c r="P28" s="8" t="n">
        <x:f>IF(12='合同排期'!I8,'合同排期'!N8,0)+IF(AND(12&gt;='合同排期'!J8,12&lt;'合同排期'!J8+12),'合同排期'!O8,0)+P24*'假设'!D47</x:f>
        <x:v>0</x:v>
      </x:c>
      <x:c r="Q28" s="8" t="n">
        <x:f>IF(13='合同排期'!I8,'合同排期'!N8,0)+IF(AND(13&gt;='合同排期'!J8,13&lt;'合同排期'!J8+12),'合同排期'!O8,0)+Q24*'假设'!D47</x:f>
        <x:v>0</x:v>
      </x:c>
      <x:c r="R28" s="8" t="n">
        <x:f>IF(14='合同排期'!I8,'合同排期'!N8,0)+IF(AND(14&gt;='合同排期'!J8,14&lt;'合同排期'!J8+12),'合同排期'!O8,0)+R24*'假设'!D47</x:f>
        <x:v>0</x:v>
      </x:c>
      <x:c r="S28" s="8" t="n">
        <x:f>IF(15='合同排期'!I8,'合同排期'!N8,0)+IF(AND(15&gt;='合同排期'!J8,15&lt;'合同排期'!J8+12),'合同排期'!O8,0)+S24*'假设'!D47</x:f>
        <x:v>0</x:v>
      </x:c>
      <x:c r="T28" s="8" t="n">
        <x:f>IF(16='合同排期'!I8,'合同排期'!N8,0)+IF(AND(16&gt;='合同排期'!J8,16&lt;'合同排期'!J8+12),'合同排期'!O8,0)+T24*'假设'!D47</x:f>
        <x:v>0</x:v>
      </x:c>
      <x:c r="U28" s="8" t="n">
        <x:f>IF(17='合同排期'!I8,'合同排期'!N8,0)+IF(AND(17&gt;='合同排期'!J8,17&lt;'合同排期'!J8+12),'合同排期'!O8,0)+U24*'假设'!D47</x:f>
        <x:v>0</x:v>
      </x:c>
      <x:c r="V28" s="8" t="n">
        <x:f>IF(18='合同排期'!I8,'合同排期'!N8,0)+IF(AND(18&gt;='合同排期'!J8,18&lt;'合同排期'!J8+12),'合同排期'!O8,0)+V24*'假设'!D47</x:f>
        <x:v>0</x:v>
      </x:c>
      <x:c r="W28" s="8" t="n">
        <x:f>IF(19='合同排期'!I8,'合同排期'!N8,0)+IF(AND(19&gt;='合同排期'!J8,19&lt;'合同排期'!J8+12),'合同排期'!O8,0)+W24*'假设'!D47</x:f>
        <x:v>0</x:v>
      </x:c>
      <x:c r="X28" s="8" t="n">
        <x:f>IF(20='合同排期'!I8,'合同排期'!N8,0)+IF(AND(20&gt;='合同排期'!J8,20&lt;'合同排期'!J8+12),'合同排期'!O8,0)+X24*'假设'!D47</x:f>
        <x:v>0</x:v>
      </x:c>
      <x:c r="Y28" s="8" t="n">
        <x:f>IF(21='合同排期'!I8,'合同排期'!N8,0)+IF(AND(21&gt;='合同排期'!J8,21&lt;'合同排期'!J8+12),'合同排期'!O8,0)+Y24*'假设'!D47</x:f>
        <x:v>0</x:v>
      </x:c>
      <x:c r="Z28" s="8" t="n">
        <x:f>IF(22='合同排期'!I8,'合同排期'!N8,0)+IF(AND(22&gt;='合同排期'!J8,22&lt;'合同排期'!J8+12),'合同排期'!O8,0)+Z24*'假设'!D47</x:f>
        <x:v>0</x:v>
      </x:c>
      <x:c r="AA28" s="8" t="n">
        <x:f>IF(23='合同排期'!I8,'合同排期'!N8,0)+IF(AND(23&gt;='合同排期'!J8,23&lt;'合同排期'!J8+12),'合同排期'!O8,0)+AA24*'假设'!D47</x:f>
        <x:v>0</x:v>
      </x:c>
      <x:c r="AB28" s="8" t="n">
        <x:f>IF(24='合同排期'!I8,'合同排期'!N8,0)+IF(AND(24&gt;='合同排期'!J8,24&lt;'合同排期'!J8+12),'合同排期'!O8,0)+AB24*'假设'!D47</x:f>
        <x:v>0</x:v>
      </x:c>
    </x:row>
    <x:row r="29" ht="23" customHeight="1">
      <x:c r="A29" s="1"/>
      <x:c r="B29" s="1"/>
      <x:c r="C29" s="1" t="str">
        <x:v>P03</x:v>
      </x:c>
      <x:c r="D29" s="1" t="str">
        <x:v>直接现金成本</x:v>
      </x:c>
      <x:c r="E29" s="8" t="n">
        <x:f>IF(AND(1&gt;='合同排期'!H8,1&lt;='合同排期'!I8),'合同排期'!N8/('合同排期'!I8-'合同排期'!H8+1),0)+IF(AND(1&gt;='合同排期'!J8,1&lt;'合同排期'!J8+12),'合同排期'!O8,0)+E27*'假设'!D47</x:f>
        <x:v>0</x:v>
      </x:c>
      <x:c r="F29" s="8" t="n">
        <x:f>IF(AND(2&gt;='合同排期'!H8,2&lt;='合同排期'!I8),'合同排期'!N8/('合同排期'!I8-'合同排期'!H8+1),0)+IF(AND(2&gt;='合同排期'!J8,2&lt;'合同排期'!J8+12),'合同排期'!O8,0)+F27*'假设'!D47</x:f>
        <x:v>0</x:v>
      </x:c>
      <x:c r="G29" s="8" t="n">
        <x:f>IF(AND(3&gt;='合同排期'!H8,3&lt;='合同排期'!I8),'合同排期'!N8/('合同排期'!I8-'合同排期'!H8+1),0)+IF(AND(3&gt;='合同排期'!J8,3&lt;'合同排期'!J8+12),'合同排期'!O8,0)+G27*'假设'!D47</x:f>
        <x:v>0</x:v>
      </x:c>
      <x:c r="H29" s="8" t="n">
        <x:f>IF(AND(4&gt;='合同排期'!H8,4&lt;='合同排期'!I8),'合同排期'!N8/('合同排期'!I8-'合同排期'!H8+1),0)+IF(AND(4&gt;='合同排期'!J8,4&lt;'合同排期'!J8+12),'合同排期'!O8,0)+H27*'假设'!D47</x:f>
        <x:v>0</x:v>
      </x:c>
      <x:c r="I29" s="8" t="n">
        <x:f>IF(AND(5&gt;='合同排期'!H8,5&lt;='合同排期'!I8),'合同排期'!N8/('合同排期'!I8-'合同排期'!H8+1),0)+IF(AND(5&gt;='合同排期'!J8,5&lt;'合同排期'!J8+12),'合同排期'!O8,0)+I27*'假设'!D47</x:f>
        <x:v>1.85</x:v>
      </x:c>
      <x:c r="J29" s="8" t="n">
        <x:f>IF(AND(6&gt;='合同排期'!H8,6&lt;='合同排期'!I8),'合同排期'!N8/('合同排期'!I8-'合同排期'!H8+1),0)+IF(AND(6&gt;='合同排期'!J8,6&lt;'合同排期'!J8+12),'合同排期'!O8,0)+J27*'假设'!D47</x:f>
        <x:v>1.9700000000000002</x:v>
      </x:c>
      <x:c r="K29" s="8" t="n">
        <x:f>IF(AND(7&gt;='合同排期'!H8,7&lt;='合同排期'!I8),'合同排期'!N8/('合同排期'!I8-'合同排期'!H8+1),0)+IF(AND(7&gt;='合同排期'!J8,7&lt;'合同排期'!J8+12),'合同排期'!O8,0)+K27*'假设'!D47</x:f>
        <x:v>0.27999999999999997</x:v>
      </x:c>
      <x:c r="L29" s="8" t="n">
        <x:f>IF(AND(8&gt;='合同排期'!H8,8&lt;='合同排期'!I8),'合同排期'!N8/('合同排期'!I8-'合同排期'!H8+1),0)+IF(AND(8&gt;='合同排期'!J8,8&lt;'合同排期'!J8+12),'合同排期'!O8,0)+L27*'假设'!D47</x:f>
        <x:v>0</x:v>
      </x:c>
      <x:c r="M29" s="8" t="n">
        <x:f>IF(AND(9&gt;='合同排期'!H8,9&lt;='合同排期'!I8),'合同排期'!N8/('合同排期'!I8-'合同排期'!H8+1),0)+IF(AND(9&gt;='合同排期'!J8,9&lt;'合同排期'!J8+12),'合同排期'!O8,0)+M27*'假设'!D47</x:f>
        <x:v>0</x:v>
      </x:c>
      <x:c r="N29" s="8" t="n">
        <x:f>IF(AND(10&gt;='合同排期'!H8,10&lt;='合同排期'!I8),'合同排期'!N8/('合同排期'!I8-'合同排期'!H8+1),0)+IF(AND(10&gt;='合同排期'!J8,10&lt;'合同排期'!J8+12),'合同排期'!O8,0)+N27*'假设'!D47</x:f>
        <x:v>0</x:v>
      </x:c>
      <x:c r="O29" s="8" t="n">
        <x:f>IF(AND(11&gt;='合同排期'!H8,11&lt;='合同排期'!I8),'合同排期'!N8/('合同排期'!I8-'合同排期'!H8+1),0)+IF(AND(11&gt;='合同排期'!J8,11&lt;'合同排期'!J8+12),'合同排期'!O8,0)+O27*'假设'!D47</x:f>
        <x:v>0</x:v>
      </x:c>
      <x:c r="P29" s="8" t="n">
        <x:f>IF(AND(12&gt;='合同排期'!H8,12&lt;='合同排期'!I8),'合同排期'!N8/('合同排期'!I8-'合同排期'!H8+1),0)+IF(AND(12&gt;='合同排期'!J8,12&lt;'合同排期'!J8+12),'合同排期'!O8,0)+P27*'假设'!D47</x:f>
        <x:v>0</x:v>
      </x:c>
      <x:c r="Q29" s="8" t="n">
        <x:f>IF(AND(13&gt;='合同排期'!H8,13&lt;='合同排期'!I8),'合同排期'!N8/('合同排期'!I8-'合同排期'!H8+1),0)+IF(AND(13&gt;='合同排期'!J8,13&lt;'合同排期'!J8+12),'合同排期'!O8,0)+Q27*'假设'!D47</x:f>
        <x:v>0</x:v>
      </x:c>
      <x:c r="R29" s="8" t="n">
        <x:f>IF(AND(14&gt;='合同排期'!H8,14&lt;='合同排期'!I8),'合同排期'!N8/('合同排期'!I8-'合同排期'!H8+1),0)+IF(AND(14&gt;='合同排期'!J8,14&lt;'合同排期'!J8+12),'合同排期'!O8,0)+R27*'假设'!D47</x:f>
        <x:v>0</x:v>
      </x:c>
      <x:c r="S29" s="8" t="n">
        <x:f>IF(AND(15&gt;='合同排期'!H8,15&lt;='合同排期'!I8),'合同排期'!N8/('合同排期'!I8-'合同排期'!H8+1),0)+IF(AND(15&gt;='合同排期'!J8,15&lt;'合同排期'!J8+12),'合同排期'!O8,0)+S27*'假设'!D47</x:f>
        <x:v>0</x:v>
      </x:c>
      <x:c r="T29" s="8" t="n">
        <x:f>IF(AND(16&gt;='合同排期'!H8,16&lt;='合同排期'!I8),'合同排期'!N8/('合同排期'!I8-'合同排期'!H8+1),0)+IF(AND(16&gt;='合同排期'!J8,16&lt;'合同排期'!J8+12),'合同排期'!O8,0)+T27*'假设'!D47</x:f>
        <x:v>0</x:v>
      </x:c>
      <x:c r="U29" s="8" t="n">
        <x:f>IF(AND(17&gt;='合同排期'!H8,17&lt;='合同排期'!I8),'合同排期'!N8/('合同排期'!I8-'合同排期'!H8+1),0)+IF(AND(17&gt;='合同排期'!J8,17&lt;'合同排期'!J8+12),'合同排期'!O8,0)+U27*'假设'!D47</x:f>
        <x:v>0</x:v>
      </x:c>
      <x:c r="V29" s="8" t="n">
        <x:f>IF(AND(18&gt;='合同排期'!H8,18&lt;='合同排期'!I8),'合同排期'!N8/('合同排期'!I8-'合同排期'!H8+1),0)+IF(AND(18&gt;='合同排期'!J8,18&lt;'合同排期'!J8+12),'合同排期'!O8,0)+V27*'假设'!D47</x:f>
        <x:v>0</x:v>
      </x:c>
      <x:c r="W29" s="8" t="n">
        <x:f>IF(AND(19&gt;='合同排期'!H8,19&lt;='合同排期'!I8),'合同排期'!N8/('合同排期'!I8-'合同排期'!H8+1),0)+IF(AND(19&gt;='合同排期'!J8,19&lt;'合同排期'!J8+12),'合同排期'!O8,0)+W27*'假设'!D47</x:f>
        <x:v>0</x:v>
      </x:c>
      <x:c r="X29" s="8" t="n">
        <x:f>IF(AND(20&gt;='合同排期'!H8,20&lt;='合同排期'!I8),'合同排期'!N8/('合同排期'!I8-'合同排期'!H8+1),0)+IF(AND(20&gt;='合同排期'!J8,20&lt;'合同排期'!J8+12),'合同排期'!O8,0)+X27*'假设'!D47</x:f>
        <x:v>0</x:v>
      </x:c>
      <x:c r="Y29" s="8" t="n">
        <x:f>IF(AND(21&gt;='合同排期'!H8,21&lt;='合同排期'!I8),'合同排期'!N8/('合同排期'!I8-'合同排期'!H8+1),0)+IF(AND(21&gt;='合同排期'!J8,21&lt;'合同排期'!J8+12),'合同排期'!O8,0)+Y27*'假设'!D47</x:f>
        <x:v>0</x:v>
      </x:c>
      <x:c r="Z29" s="8" t="n">
        <x:f>IF(AND(22&gt;='合同排期'!H8,22&lt;='合同排期'!I8),'合同排期'!N8/('合同排期'!I8-'合同排期'!H8+1),0)+IF(AND(22&gt;='合同排期'!J8,22&lt;'合同排期'!J8+12),'合同排期'!O8,0)+Z27*'假设'!D47</x:f>
        <x:v>0</x:v>
      </x:c>
      <x:c r="AA29" s="8" t="n">
        <x:f>IF(AND(23&gt;='合同排期'!H8,23&lt;='合同排期'!I8),'合同排期'!N8/('合同排期'!I8-'合同排期'!H8+1),0)+IF(AND(23&gt;='合同排期'!J8,23&lt;'合同排期'!J8+12),'合同排期'!O8,0)+AA27*'假设'!D47</x:f>
        <x:v>0</x:v>
      </x:c>
      <x:c r="AB29" s="8" t="n">
        <x:f>IF(AND(24&gt;='合同排期'!H8,24&lt;='合同排期'!I8),'合同排期'!N8/('合同排期'!I8-'合同排期'!H8+1),0)+IF(AND(24&gt;='合同排期'!J8,24&lt;'合同排期'!J8+12),'合同排期'!O8,0)+AB27*'假设'!D47</x:f>
        <x:v>0</x:v>
      </x:c>
    </x:row>
    <x:row r="30" ht="23" customHeight="1">
      <x:c r="A30" s="1"/>
      <x:c r="B30" s="1"/>
      <x:c r="C30" s="1" t="str">
        <x:v>P03</x:v>
      </x:c>
      <x:c r="D30" s="1" t="str">
        <x:v>工程交付人月</x:v>
      </x:c>
      <x:c r="E30" s="8" t="n">
        <x:f>IF(AND(1&gt;='合同排期'!H8,1&lt;='合同排期'!I8),'合同排期'!M8/('合同排期'!I8-'合同排期'!H8+1),0)</x:f>
        <x:v>0</x:v>
      </x:c>
      <x:c r="F30" s="8" t="n">
        <x:f>IF(AND(2&gt;='合同排期'!H8,2&lt;='合同排期'!I8),'合同排期'!M8/('合同排期'!I8-'合同排期'!H8+1),0)</x:f>
        <x:v>0</x:v>
      </x:c>
      <x:c r="G30" s="8" t="n">
        <x:f>IF(AND(3&gt;='合同排期'!H8,3&lt;='合同排期'!I8),'合同排期'!M8/('合同排期'!I8-'合同排期'!H8+1),0)</x:f>
        <x:v>0</x:v>
      </x:c>
      <x:c r="H30" s="8" t="n">
        <x:f>IF(AND(4&gt;='合同排期'!H8,4&lt;='合同排期'!I8),'合同排期'!M8/('合同排期'!I8-'合同排期'!H8+1),0)</x:f>
        <x:v>0</x:v>
      </x:c>
      <x:c r="I30" s="8" t="n">
        <x:f>IF(AND(5&gt;='合同排期'!H8,5&lt;='合同排期'!I8),'合同排期'!M8/('合同排期'!I8-'合同排期'!H8+1),0)</x:f>
        <x:v>1.5</x:v>
      </x:c>
      <x:c r="J30" s="8" t="n">
        <x:f>IF(AND(6&gt;='合同排期'!H8,6&lt;='合同排期'!I8),'合同排期'!M8/('合同排期'!I8-'合同排期'!H8+1),0)</x:f>
        <x:v>1.5</x:v>
      </x:c>
      <x:c r="K30" s="8" t="n">
        <x:f>IF(AND(7&gt;='合同排期'!H8,7&lt;='合同排期'!I8),'合同排期'!M8/('合同排期'!I8-'合同排期'!H8+1),0)</x:f>
        <x:v>0</x:v>
      </x:c>
      <x:c r="L30" s="8" t="n">
        <x:f>IF(AND(8&gt;='合同排期'!H8,8&lt;='合同排期'!I8),'合同排期'!M8/('合同排期'!I8-'合同排期'!H8+1),0)</x:f>
        <x:v>0</x:v>
      </x:c>
      <x:c r="M30" s="8" t="n">
        <x:f>IF(AND(9&gt;='合同排期'!H8,9&lt;='合同排期'!I8),'合同排期'!M8/('合同排期'!I8-'合同排期'!H8+1),0)</x:f>
        <x:v>0</x:v>
      </x:c>
      <x:c r="N30" s="8" t="n">
        <x:f>IF(AND(10&gt;='合同排期'!H8,10&lt;='合同排期'!I8),'合同排期'!M8/('合同排期'!I8-'合同排期'!H8+1),0)</x:f>
        <x:v>0</x:v>
      </x:c>
      <x:c r="O30" s="8" t="n">
        <x:f>IF(AND(11&gt;='合同排期'!H8,11&lt;='合同排期'!I8),'合同排期'!M8/('合同排期'!I8-'合同排期'!H8+1),0)</x:f>
        <x:v>0</x:v>
      </x:c>
      <x:c r="P30" s="8" t="n">
        <x:f>IF(AND(12&gt;='合同排期'!H8,12&lt;='合同排期'!I8),'合同排期'!M8/('合同排期'!I8-'合同排期'!H8+1),0)</x:f>
        <x:v>0</x:v>
      </x:c>
      <x:c r="Q30" s="8" t="n">
        <x:f>IF(AND(13&gt;='合同排期'!H8,13&lt;='合同排期'!I8),'合同排期'!M8/('合同排期'!I8-'合同排期'!H8+1),0)</x:f>
        <x:v>0</x:v>
      </x:c>
      <x:c r="R30" s="8" t="n">
        <x:f>IF(AND(14&gt;='合同排期'!H8,14&lt;='合同排期'!I8),'合同排期'!M8/('合同排期'!I8-'合同排期'!H8+1),0)</x:f>
        <x:v>0</x:v>
      </x:c>
      <x:c r="S30" s="8" t="n">
        <x:f>IF(AND(15&gt;='合同排期'!H8,15&lt;='合同排期'!I8),'合同排期'!M8/('合同排期'!I8-'合同排期'!H8+1),0)</x:f>
        <x:v>0</x:v>
      </x:c>
      <x:c r="T30" s="8" t="n">
        <x:f>IF(AND(16&gt;='合同排期'!H8,16&lt;='合同排期'!I8),'合同排期'!M8/('合同排期'!I8-'合同排期'!H8+1),0)</x:f>
        <x:v>0</x:v>
      </x:c>
      <x:c r="U30" s="8" t="n">
        <x:f>IF(AND(17&gt;='合同排期'!H8,17&lt;='合同排期'!I8),'合同排期'!M8/('合同排期'!I8-'合同排期'!H8+1),0)</x:f>
        <x:v>0</x:v>
      </x:c>
      <x:c r="V30" s="8" t="n">
        <x:f>IF(AND(18&gt;='合同排期'!H8,18&lt;='合同排期'!I8),'合同排期'!M8/('合同排期'!I8-'合同排期'!H8+1),0)</x:f>
        <x:v>0</x:v>
      </x:c>
      <x:c r="W30" s="8" t="n">
        <x:f>IF(AND(19&gt;='合同排期'!H8,19&lt;='合同排期'!I8),'合同排期'!M8/('合同排期'!I8-'合同排期'!H8+1),0)</x:f>
        <x:v>0</x:v>
      </x:c>
      <x:c r="X30" s="8" t="n">
        <x:f>IF(AND(20&gt;='合同排期'!H8,20&lt;='合同排期'!I8),'合同排期'!M8/('合同排期'!I8-'合同排期'!H8+1),0)</x:f>
        <x:v>0</x:v>
      </x:c>
      <x:c r="Y30" s="8" t="n">
        <x:f>IF(AND(21&gt;='合同排期'!H8,21&lt;='合同排期'!I8),'合同排期'!M8/('合同排期'!I8-'合同排期'!H8+1),0)</x:f>
        <x:v>0</x:v>
      </x:c>
      <x:c r="Z30" s="8" t="n">
        <x:f>IF(AND(22&gt;='合同排期'!H8,22&lt;='合同排期'!I8),'合同排期'!M8/('合同排期'!I8-'合同排期'!H8+1),0)</x:f>
        <x:v>0</x:v>
      </x:c>
      <x:c r="AA30" s="8" t="n">
        <x:f>IF(AND(23&gt;='合同排期'!H8,23&lt;='合同排期'!I8),'合同排期'!M8/('合同排期'!I8-'合同排期'!H8+1),0)</x:f>
        <x:v>0</x:v>
      </x:c>
      <x:c r="AB30" s="8" t="n">
        <x:f>IF(AND(24&gt;='合同排期'!H8,24&lt;='合同排期'!I8),'合同排期'!M8/('合同排期'!I8-'合同排期'!H8+1),0)</x:f>
        <x:v>0</x:v>
      </x:c>
    </x:row>
    <x:row r="31" ht="23" customHeight="1">
      <x:c r="A31" s="1"/>
      <x:c r="B31" s="1"/>
      <x:c r="C31" s="1" t="str">
        <x:v>P03</x:v>
      </x:c>
      <x:c r="D31" s="1" t="str">
        <x:v>生效ARR</x:v>
      </x:c>
      <x:c r="E31" s="8" t="n">
        <x:f>IF(AND(1&gt;='合同排期'!J8,1&lt;'合同排期'!J8+12),'合同排期'!L8,0)</x:f>
        <x:v>0</x:v>
      </x:c>
      <x:c r="F31" s="8" t="n">
        <x:f>IF(AND(2&gt;='合同排期'!J8,2&lt;'合同排期'!J8+12),'合同排期'!L8,0)</x:f>
        <x:v>0</x:v>
      </x:c>
      <x:c r="G31" s="8" t="n">
        <x:f>IF(AND(3&gt;='合同排期'!J8,3&lt;'合同排期'!J8+12),'合同排期'!L8,0)</x:f>
        <x:v>0</x:v>
      </x:c>
      <x:c r="H31" s="8" t="n">
        <x:f>IF(AND(4&gt;='合同排期'!J8,4&lt;'合同排期'!J8+12),'合同排期'!L8,0)</x:f>
        <x:v>0</x:v>
      </x:c>
      <x:c r="I31" s="8" t="n">
        <x:f>IF(AND(5&gt;='合同排期'!J8,5&lt;'合同排期'!J8+12),'合同排期'!L8,0)</x:f>
        <x:v>0</x:v>
      </x:c>
      <x:c r="J31" s="8" t="n">
        <x:f>IF(AND(6&gt;='合同排期'!J8,6&lt;'合同排期'!J8+12),'合同排期'!L8,0)</x:f>
        <x:v>0</x:v>
      </x:c>
      <x:c r="K31" s="8" t="n">
        <x:f>IF(AND(7&gt;='合同排期'!J8,7&lt;'合同排期'!J8+12),'合同排期'!L8,0)</x:f>
        <x:v>0</x:v>
      </x:c>
      <x:c r="L31" s="8" t="n">
        <x:f>IF(AND(8&gt;='合同排期'!J8,8&lt;'合同排期'!J8+12),'合同排期'!L8,0)</x:f>
        <x:v>0</x:v>
      </x:c>
      <x:c r="M31" s="8" t="n">
        <x:f>IF(AND(9&gt;='合同排期'!J8,9&lt;'合同排期'!J8+12),'合同排期'!L8,0)</x:f>
        <x:v>0</x:v>
      </x:c>
      <x:c r="N31" s="8" t="n">
        <x:f>IF(AND(10&gt;='合同排期'!J8,10&lt;'合同排期'!J8+12),'合同排期'!L8,0)</x:f>
        <x:v>0</x:v>
      </x:c>
      <x:c r="O31" s="8" t="n">
        <x:f>IF(AND(11&gt;='合同排期'!J8,11&lt;'合同排期'!J8+12),'合同排期'!L8,0)</x:f>
        <x:v>0</x:v>
      </x:c>
      <x:c r="P31" s="8" t="n">
        <x:f>IF(AND(12&gt;='合同排期'!J8,12&lt;'合同排期'!J8+12),'合同排期'!L8,0)</x:f>
        <x:v>0</x:v>
      </x:c>
      <x:c r="Q31" s="8" t="n">
        <x:f>IF(AND(13&gt;='合同排期'!J8,13&lt;'合同排期'!J8+12),'合同排期'!L8,0)</x:f>
        <x:v>0</x:v>
      </x:c>
      <x:c r="R31" s="8" t="n">
        <x:f>IF(AND(14&gt;='合同排期'!J8,14&lt;'合同排期'!J8+12),'合同排期'!L8,0)</x:f>
        <x:v>0</x:v>
      </x:c>
      <x:c r="S31" s="8" t="n">
        <x:f>IF(AND(15&gt;='合同排期'!J8,15&lt;'合同排期'!J8+12),'合同排期'!L8,0)</x:f>
        <x:v>0</x:v>
      </x:c>
      <x:c r="T31" s="8" t="n">
        <x:f>IF(AND(16&gt;='合同排期'!J8,16&lt;'合同排期'!J8+12),'合同排期'!L8,0)</x:f>
        <x:v>0</x:v>
      </x:c>
      <x:c r="U31" s="8" t="n">
        <x:f>IF(AND(17&gt;='合同排期'!J8,17&lt;'合同排期'!J8+12),'合同排期'!L8,0)</x:f>
        <x:v>0</x:v>
      </x:c>
      <x:c r="V31" s="8" t="n">
        <x:f>IF(AND(18&gt;='合同排期'!J8,18&lt;'合同排期'!J8+12),'合同排期'!L8,0)</x:f>
        <x:v>0</x:v>
      </x:c>
      <x:c r="W31" s="8" t="n">
        <x:f>IF(AND(19&gt;='合同排期'!J8,19&lt;'合同排期'!J8+12),'合同排期'!L8,0)</x:f>
        <x:v>0</x:v>
      </x:c>
      <x:c r="X31" s="8" t="n">
        <x:f>IF(AND(20&gt;='合同排期'!J8,20&lt;'合同排期'!J8+12),'合同排期'!L8,0)</x:f>
        <x:v>0</x:v>
      </x:c>
      <x:c r="Y31" s="8" t="n">
        <x:f>IF(AND(21&gt;='合同排期'!J8,21&lt;'合同排期'!J8+12),'合同排期'!L8,0)</x:f>
        <x:v>0</x:v>
      </x:c>
      <x:c r="Z31" s="8" t="n">
        <x:f>IF(AND(22&gt;='合同排期'!J8,22&lt;'合同排期'!J8+12),'合同排期'!L8,0)</x:f>
        <x:v>0</x:v>
      </x:c>
      <x:c r="AA31" s="8" t="n">
        <x:f>IF(AND(23&gt;='合同排期'!J8,23&lt;'合同排期'!J8+12),'合同排期'!L8,0)</x:f>
        <x:v>0</x:v>
      </x:c>
      <x:c r="AB31" s="8" t="n">
        <x:f>IF(AND(24&gt;='合同排期'!J8,24&lt;'合同排期'!J8+12),'合同排期'!L8,0)</x:f>
        <x:v>0</x:v>
      </x:c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  <x:c r="AA32" s="1"/>
      <x:c r="AB32" s="1"/>
    </x:row>
    <x:row r="33" ht="23" customHeight="1">
      <x:c r="A33" s="1"/>
      <x:c r="B33" s="1"/>
      <x:c r="C33" s="1" t="str">
        <x:v>P04</x:v>
      </x:c>
      <x:c r="D33" s="1" t="str">
        <x:v>净签约</x:v>
      </x:c>
      <x:c r="E33" s="8" t="n">
        <x:f>IF(1='合同排期'!H9,'合同排期'!K9+'合同排期'!L9,0)</x:f>
        <x:v>0</x:v>
      </x:c>
      <x:c r="F33" s="8" t="n">
        <x:f>IF(2='合同排期'!H9,'合同排期'!K9+'合同排期'!L9,0)</x:f>
        <x:v>0</x:v>
      </x:c>
      <x:c r="G33" s="8" t="n">
        <x:f>IF(3='合同排期'!H9,'合同排期'!K9+'合同排期'!L9,0)</x:f>
        <x:v>0</x:v>
      </x:c>
      <x:c r="H33" s="8" t="n">
        <x:f>IF(4='合同排期'!H9,'合同排期'!K9+'合同排期'!L9,0)</x:f>
        <x:v>0</x:v>
      </x:c>
      <x:c r="I33" s="8" t="n">
        <x:f>IF(5='合同排期'!H9,'合同排期'!K9+'合同排期'!L9,0)</x:f>
        <x:v>0</x:v>
      </x:c>
      <x:c r="J33" s="8" t="n">
        <x:f>IF(6='合同排期'!H9,'合同排期'!K9+'合同排期'!L9,0)</x:f>
        <x:v>8</x:v>
      </x:c>
      <x:c r="K33" s="8" t="n">
        <x:f>IF(7='合同排期'!H9,'合同排期'!K9+'合同排期'!L9,0)</x:f>
        <x:v>0</x:v>
      </x:c>
      <x:c r="L33" s="8" t="n">
        <x:f>IF(8='合同排期'!H9,'合同排期'!K9+'合同排期'!L9,0)</x:f>
        <x:v>0</x:v>
      </x:c>
      <x:c r="M33" s="8" t="n">
        <x:f>IF(9='合同排期'!H9,'合同排期'!K9+'合同排期'!L9,0)</x:f>
        <x:v>0</x:v>
      </x:c>
      <x:c r="N33" s="8" t="n">
        <x:f>IF(10='合同排期'!H9,'合同排期'!K9+'合同排期'!L9,0)</x:f>
        <x:v>0</x:v>
      </x:c>
      <x:c r="O33" s="8" t="n">
        <x:f>IF(11='合同排期'!H9,'合同排期'!K9+'合同排期'!L9,0)</x:f>
        <x:v>0</x:v>
      </x:c>
      <x:c r="P33" s="8" t="n">
        <x:f>IF(12='合同排期'!H9,'合同排期'!K9+'合同排期'!L9,0)</x:f>
        <x:v>0</x:v>
      </x:c>
      <x:c r="Q33" s="8" t="n">
        <x:f>IF(13='合同排期'!H9,'合同排期'!K9+'合同排期'!L9,0)</x:f>
        <x:v>0</x:v>
      </x:c>
      <x:c r="R33" s="8" t="n">
        <x:f>IF(14='合同排期'!H9,'合同排期'!K9+'合同排期'!L9,0)</x:f>
        <x:v>0</x:v>
      </x:c>
      <x:c r="S33" s="8" t="n">
        <x:f>IF(15='合同排期'!H9,'合同排期'!K9+'合同排期'!L9,0)</x:f>
        <x:v>0</x:v>
      </x:c>
      <x:c r="T33" s="8" t="n">
        <x:f>IF(16='合同排期'!H9,'合同排期'!K9+'合同排期'!L9,0)</x:f>
        <x:v>0</x:v>
      </x:c>
      <x:c r="U33" s="8" t="n">
        <x:f>IF(17='合同排期'!H9,'合同排期'!K9+'合同排期'!L9,0)</x:f>
        <x:v>0</x:v>
      </x:c>
      <x:c r="V33" s="8" t="n">
        <x:f>IF(18='合同排期'!H9,'合同排期'!K9+'合同排期'!L9,0)</x:f>
        <x:v>0</x:v>
      </x:c>
      <x:c r="W33" s="8" t="n">
        <x:f>IF(19='合同排期'!H9,'合同排期'!K9+'合同排期'!L9,0)</x:f>
        <x:v>0</x:v>
      </x:c>
      <x:c r="X33" s="8" t="n">
        <x:f>IF(20='合同排期'!H9,'合同排期'!K9+'合同排期'!L9,0)</x:f>
        <x:v>0</x:v>
      </x:c>
      <x:c r="Y33" s="8" t="n">
        <x:f>IF(21='合同排期'!H9,'合同排期'!K9+'合同排期'!L9,0)</x:f>
        <x:v>0</x:v>
      </x:c>
      <x:c r="Z33" s="8" t="n">
        <x:f>IF(22='合同排期'!H9,'合同排期'!K9+'合同排期'!L9,0)</x:f>
        <x:v>0</x:v>
      </x:c>
      <x:c r="AA33" s="8" t="n">
        <x:f>IF(23='合同排期'!H9,'合同排期'!K9+'合同排期'!L9,0)</x:f>
        <x:v>0</x:v>
      </x:c>
      <x:c r="AB33" s="8" t="n">
        <x:f>IF(24='合同排期'!H9,'合同排期'!K9+'合同排期'!L9,0)</x:f>
        <x:v>0</x:v>
      </x:c>
    </x:row>
    <x:row r="34" ht="23" customHeight="1">
      <x:c r="A34" s="1"/>
      <x:c r="B34" s="1"/>
      <x:c r="C34" s="1" t="str">
        <x:v>P04</x:v>
      </x:c>
      <x:c r="D34" s="1" t="str">
        <x:v>确认收入</x:v>
      </x:c>
      <x:c r="E34" s="8" t="n">
        <x:f>IF(1='合同排期'!I9,'合同排期'!K9,0)+IF(AND(1&gt;='合同排期'!J9,1&lt;'合同排期'!J9+12),'合同排期'!L9/12,0)</x:f>
        <x:v>0</x:v>
      </x:c>
      <x:c r="F34" s="8" t="n">
        <x:f>IF(2='合同排期'!I9,'合同排期'!K9,0)+IF(AND(2&gt;='合同排期'!J9,2&lt;'合同排期'!J9+12),'合同排期'!L9/12,0)</x:f>
        <x:v>0</x:v>
      </x:c>
      <x:c r="G34" s="8" t="n">
        <x:f>IF(3='合同排期'!I9,'合同排期'!K9,0)+IF(AND(3&gt;='合同排期'!J9,3&lt;'合同排期'!J9+12),'合同排期'!L9/12,0)</x:f>
        <x:v>0</x:v>
      </x:c>
      <x:c r="H34" s="8" t="n">
        <x:f>IF(4='合同排期'!I9,'合同排期'!K9,0)+IF(AND(4&gt;='合同排期'!J9,4&lt;'合同排期'!J9+12),'合同排期'!L9/12,0)</x:f>
        <x:v>0</x:v>
      </x:c>
      <x:c r="I34" s="8" t="n">
        <x:f>IF(5='合同排期'!I9,'合同排期'!K9,0)+IF(AND(5&gt;='合同排期'!J9,5&lt;'合同排期'!J9+12),'合同排期'!L9/12,0)</x:f>
        <x:v>0</x:v>
      </x:c>
      <x:c r="J34" s="8" t="n">
        <x:f>IF(6='合同排期'!I9,'合同排期'!K9,0)+IF(AND(6&gt;='合同排期'!J9,6&lt;'合同排期'!J9+12),'合同排期'!L9/12,0)</x:f>
        <x:v>0</x:v>
      </x:c>
      <x:c r="K34" s="8" t="n">
        <x:f>IF(7='合同排期'!I9,'合同排期'!K9,0)+IF(AND(7&gt;='合同排期'!J9,7&lt;'合同排期'!J9+12),'合同排期'!L9/12,0)</x:f>
        <x:v>8</x:v>
      </x:c>
      <x:c r="L34" s="8" t="n">
        <x:f>IF(8='合同排期'!I9,'合同排期'!K9,0)+IF(AND(8&gt;='合同排期'!J9,8&lt;'合同排期'!J9+12),'合同排期'!L9/12,0)</x:f>
        <x:v>0</x:v>
      </x:c>
      <x:c r="M34" s="8" t="n">
        <x:f>IF(9='合同排期'!I9,'合同排期'!K9,0)+IF(AND(9&gt;='合同排期'!J9,9&lt;'合同排期'!J9+12),'合同排期'!L9/12,0)</x:f>
        <x:v>0</x:v>
      </x:c>
      <x:c r="N34" s="8" t="n">
        <x:f>IF(10='合同排期'!I9,'合同排期'!K9,0)+IF(AND(10&gt;='合同排期'!J9,10&lt;'合同排期'!J9+12),'合同排期'!L9/12,0)</x:f>
        <x:v>0</x:v>
      </x:c>
      <x:c r="O34" s="8" t="n">
        <x:f>IF(11='合同排期'!I9,'合同排期'!K9,0)+IF(AND(11&gt;='合同排期'!J9,11&lt;'合同排期'!J9+12),'合同排期'!L9/12,0)</x:f>
        <x:v>0</x:v>
      </x:c>
      <x:c r="P34" s="8" t="n">
        <x:f>IF(12='合同排期'!I9,'合同排期'!K9,0)+IF(AND(12&gt;='合同排期'!J9,12&lt;'合同排期'!J9+12),'合同排期'!L9/12,0)</x:f>
        <x:v>0</x:v>
      </x:c>
      <x:c r="Q34" s="8" t="n">
        <x:f>IF(13='合同排期'!I9,'合同排期'!K9,0)+IF(AND(13&gt;='合同排期'!J9,13&lt;'合同排期'!J9+12),'合同排期'!L9/12,0)</x:f>
        <x:v>0</x:v>
      </x:c>
      <x:c r="R34" s="8" t="n">
        <x:f>IF(14='合同排期'!I9,'合同排期'!K9,0)+IF(AND(14&gt;='合同排期'!J9,14&lt;'合同排期'!J9+12),'合同排期'!L9/12,0)</x:f>
        <x:v>0</x:v>
      </x:c>
      <x:c r="S34" s="8" t="n">
        <x:f>IF(15='合同排期'!I9,'合同排期'!K9,0)+IF(AND(15&gt;='合同排期'!J9,15&lt;'合同排期'!J9+12),'合同排期'!L9/12,0)</x:f>
        <x:v>0</x:v>
      </x:c>
      <x:c r="T34" s="8" t="n">
        <x:f>IF(16='合同排期'!I9,'合同排期'!K9,0)+IF(AND(16&gt;='合同排期'!J9,16&lt;'合同排期'!J9+12),'合同排期'!L9/12,0)</x:f>
        <x:v>0</x:v>
      </x:c>
      <x:c r="U34" s="8" t="n">
        <x:f>IF(17='合同排期'!I9,'合同排期'!K9,0)+IF(AND(17&gt;='合同排期'!J9,17&lt;'合同排期'!J9+12),'合同排期'!L9/12,0)</x:f>
        <x:v>0</x:v>
      </x:c>
      <x:c r="V34" s="8" t="n">
        <x:f>IF(18='合同排期'!I9,'合同排期'!K9,0)+IF(AND(18&gt;='合同排期'!J9,18&lt;'合同排期'!J9+12),'合同排期'!L9/12,0)</x:f>
        <x:v>0</x:v>
      </x:c>
      <x:c r="W34" s="8" t="n">
        <x:f>IF(19='合同排期'!I9,'合同排期'!K9,0)+IF(AND(19&gt;='合同排期'!J9,19&lt;'合同排期'!J9+12),'合同排期'!L9/12,0)</x:f>
        <x:v>0</x:v>
      </x:c>
      <x:c r="X34" s="8" t="n">
        <x:f>IF(20='合同排期'!I9,'合同排期'!K9,0)+IF(AND(20&gt;='合同排期'!J9,20&lt;'合同排期'!J9+12),'合同排期'!L9/12,0)</x:f>
        <x:v>0</x:v>
      </x:c>
      <x:c r="Y34" s="8" t="n">
        <x:f>IF(21='合同排期'!I9,'合同排期'!K9,0)+IF(AND(21&gt;='合同排期'!J9,21&lt;'合同排期'!J9+12),'合同排期'!L9/12,0)</x:f>
        <x:v>0</x:v>
      </x:c>
      <x:c r="Z34" s="8" t="n">
        <x:f>IF(22='合同排期'!I9,'合同排期'!K9,0)+IF(AND(22&gt;='合同排期'!J9,22&lt;'合同排期'!J9+12),'合同排期'!L9/12,0)</x:f>
        <x:v>0</x:v>
      </x:c>
      <x:c r="AA34" s="8" t="n">
        <x:f>IF(23='合同排期'!I9,'合同排期'!K9,0)+IF(AND(23&gt;='合同排期'!J9,23&lt;'合同排期'!J9+12),'合同排期'!L9/12,0)</x:f>
        <x:v>0</x:v>
      </x:c>
      <x:c r="AB34" s="8" t="n">
        <x:f>IF(24='合同排期'!I9,'合同排期'!K9,0)+IF(AND(24&gt;='合同排期'!J9,24&lt;'合同排期'!J9+12),'合同排期'!L9/12,0)</x:f>
        <x:v>0</x:v>
      </x:c>
    </x:row>
    <x:row r="35" ht="23" customHeight="1">
      <x:c r="A35" s="1"/>
      <x:c r="B35" s="1"/>
      <x:c r="C35" s="1" t="str">
        <x:v>P04</x:v>
      </x:c>
      <x:c r="D35" s="1" t="str">
        <x:v>开票</x:v>
      </x:c>
      <x:c r="E35" s="8" t="n">
        <x:f>IF(1='合同排期'!H9,'合同排期'!K9*'合同排期'!P9,0)+IF(1='合同排期'!S9,'合同排期'!K9*'合同排期'!Q9,0)+IF(1='合同排期'!I9,'合同排期'!K9*'合同排期'!R9,0)+IF(1='合同排期'!J9,'合同排期'!L9,0)</x:f>
        <x:v>0</x:v>
      </x:c>
      <x:c r="F35" s="8" t="n">
        <x:f>IF(2='合同排期'!H9,'合同排期'!K9*'合同排期'!P9,0)+IF(2='合同排期'!S9,'合同排期'!K9*'合同排期'!Q9,0)+IF(2='合同排期'!I9,'合同排期'!K9*'合同排期'!R9,0)+IF(2='合同排期'!J9,'合同排期'!L9,0)</x:f>
        <x:v>0</x:v>
      </x:c>
      <x:c r="G35" s="8" t="n">
        <x:f>IF(3='合同排期'!H9,'合同排期'!K9*'合同排期'!P9,0)+IF(3='合同排期'!S9,'合同排期'!K9*'合同排期'!Q9,0)+IF(3='合同排期'!I9,'合同排期'!K9*'合同排期'!R9,0)+IF(3='合同排期'!J9,'合同排期'!L9,0)</x:f>
        <x:v>0</x:v>
      </x:c>
      <x:c r="H35" s="8" t="n">
        <x:f>IF(4='合同排期'!H9,'合同排期'!K9*'合同排期'!P9,0)+IF(4='合同排期'!S9,'合同排期'!K9*'合同排期'!Q9,0)+IF(4='合同排期'!I9,'合同排期'!K9*'合同排期'!R9,0)+IF(4='合同排期'!J9,'合同排期'!L9,0)</x:f>
        <x:v>0</x:v>
      </x:c>
      <x:c r="I35" s="8" t="n">
        <x:f>IF(5='合同排期'!H9,'合同排期'!K9*'合同排期'!P9,0)+IF(5='合同排期'!S9,'合同排期'!K9*'合同排期'!Q9,0)+IF(5='合同排期'!I9,'合同排期'!K9*'合同排期'!R9,0)+IF(5='合同排期'!J9,'合同排期'!L9,0)</x:f>
        <x:v>0</x:v>
      </x:c>
      <x:c r="J35" s="8" t="n">
        <x:f>IF(6='合同排期'!H9,'合同排期'!K9*'合同排期'!P9,0)+IF(6='合同排期'!S9,'合同排期'!K9*'合同排期'!Q9,0)+IF(6='合同排期'!I9,'合同排期'!K9*'合同排期'!R9,0)+IF(6='合同排期'!J9,'合同排期'!L9,0)</x:f>
        <x:v>2.4</x:v>
      </x:c>
      <x:c r="K35" s="8" t="n">
        <x:f>IF(7='合同排期'!H9,'合同排期'!K9*'合同排期'!P9,0)+IF(7='合同排期'!S9,'合同排期'!K9*'合同排期'!Q9,0)+IF(7='合同排期'!I9,'合同排期'!K9*'合同排期'!R9,0)+IF(7='合同排期'!J9,'合同排期'!L9,0)</x:f>
        <x:v>5.6</x:v>
      </x:c>
      <x:c r="L35" s="8" t="n">
        <x:f>IF(8='合同排期'!H9,'合同排期'!K9*'合同排期'!P9,0)+IF(8='合同排期'!S9,'合同排期'!K9*'合同排期'!Q9,0)+IF(8='合同排期'!I9,'合同排期'!K9*'合同排期'!R9,0)+IF(8='合同排期'!J9,'合同排期'!L9,0)</x:f>
        <x:v>0</x:v>
      </x:c>
      <x:c r="M35" s="8" t="n">
        <x:f>IF(9='合同排期'!H9,'合同排期'!K9*'合同排期'!P9,0)+IF(9='合同排期'!S9,'合同排期'!K9*'合同排期'!Q9,0)+IF(9='合同排期'!I9,'合同排期'!K9*'合同排期'!R9,0)+IF(9='合同排期'!J9,'合同排期'!L9,0)</x:f>
        <x:v>0</x:v>
      </x:c>
      <x:c r="N35" s="8" t="n">
        <x:f>IF(10='合同排期'!H9,'合同排期'!K9*'合同排期'!P9,0)+IF(10='合同排期'!S9,'合同排期'!K9*'合同排期'!Q9,0)+IF(10='合同排期'!I9,'合同排期'!K9*'合同排期'!R9,0)+IF(10='合同排期'!J9,'合同排期'!L9,0)</x:f>
        <x:v>0</x:v>
      </x:c>
      <x:c r="O35" s="8" t="n">
        <x:f>IF(11='合同排期'!H9,'合同排期'!K9*'合同排期'!P9,0)+IF(11='合同排期'!S9,'合同排期'!K9*'合同排期'!Q9,0)+IF(11='合同排期'!I9,'合同排期'!K9*'合同排期'!R9,0)+IF(11='合同排期'!J9,'合同排期'!L9,0)</x:f>
        <x:v>0</x:v>
      </x:c>
      <x:c r="P35" s="8" t="n">
        <x:f>IF(12='合同排期'!H9,'合同排期'!K9*'合同排期'!P9,0)+IF(12='合同排期'!S9,'合同排期'!K9*'合同排期'!Q9,0)+IF(12='合同排期'!I9,'合同排期'!K9*'合同排期'!R9,0)+IF(12='合同排期'!J9,'合同排期'!L9,0)</x:f>
        <x:v>0</x:v>
      </x:c>
      <x:c r="Q35" s="8" t="n">
        <x:f>IF(13='合同排期'!H9,'合同排期'!K9*'合同排期'!P9,0)+IF(13='合同排期'!S9,'合同排期'!K9*'合同排期'!Q9,0)+IF(13='合同排期'!I9,'合同排期'!K9*'合同排期'!R9,0)+IF(13='合同排期'!J9,'合同排期'!L9,0)</x:f>
        <x:v>0</x:v>
      </x:c>
      <x:c r="R35" s="8" t="n">
        <x:f>IF(14='合同排期'!H9,'合同排期'!K9*'合同排期'!P9,0)+IF(14='合同排期'!S9,'合同排期'!K9*'合同排期'!Q9,0)+IF(14='合同排期'!I9,'合同排期'!K9*'合同排期'!R9,0)+IF(14='合同排期'!J9,'合同排期'!L9,0)</x:f>
        <x:v>0</x:v>
      </x:c>
      <x:c r="S35" s="8" t="n">
        <x:f>IF(15='合同排期'!H9,'合同排期'!K9*'合同排期'!P9,0)+IF(15='合同排期'!S9,'合同排期'!K9*'合同排期'!Q9,0)+IF(15='合同排期'!I9,'合同排期'!K9*'合同排期'!R9,0)+IF(15='合同排期'!J9,'合同排期'!L9,0)</x:f>
        <x:v>0</x:v>
      </x:c>
      <x:c r="T35" s="8" t="n">
        <x:f>IF(16='合同排期'!H9,'合同排期'!K9*'合同排期'!P9,0)+IF(16='合同排期'!S9,'合同排期'!K9*'合同排期'!Q9,0)+IF(16='合同排期'!I9,'合同排期'!K9*'合同排期'!R9,0)+IF(16='合同排期'!J9,'合同排期'!L9,0)</x:f>
        <x:v>0</x:v>
      </x:c>
      <x:c r="U35" s="8" t="n">
        <x:f>IF(17='合同排期'!H9,'合同排期'!K9*'合同排期'!P9,0)+IF(17='合同排期'!S9,'合同排期'!K9*'合同排期'!Q9,0)+IF(17='合同排期'!I9,'合同排期'!K9*'合同排期'!R9,0)+IF(17='合同排期'!J9,'合同排期'!L9,0)</x:f>
        <x:v>0</x:v>
      </x:c>
      <x:c r="V35" s="8" t="n">
        <x:f>IF(18='合同排期'!H9,'合同排期'!K9*'合同排期'!P9,0)+IF(18='合同排期'!S9,'合同排期'!K9*'合同排期'!Q9,0)+IF(18='合同排期'!I9,'合同排期'!K9*'合同排期'!R9,0)+IF(18='合同排期'!J9,'合同排期'!L9,0)</x:f>
        <x:v>0</x:v>
      </x:c>
      <x:c r="W35" s="8" t="n">
        <x:f>IF(19='合同排期'!H9,'合同排期'!K9*'合同排期'!P9,0)+IF(19='合同排期'!S9,'合同排期'!K9*'合同排期'!Q9,0)+IF(19='合同排期'!I9,'合同排期'!K9*'合同排期'!R9,0)+IF(19='合同排期'!J9,'合同排期'!L9,0)</x:f>
        <x:v>0</x:v>
      </x:c>
      <x:c r="X35" s="8" t="n">
        <x:f>IF(20='合同排期'!H9,'合同排期'!K9*'合同排期'!P9,0)+IF(20='合同排期'!S9,'合同排期'!K9*'合同排期'!Q9,0)+IF(20='合同排期'!I9,'合同排期'!K9*'合同排期'!R9,0)+IF(20='合同排期'!J9,'合同排期'!L9,0)</x:f>
        <x:v>0</x:v>
      </x:c>
      <x:c r="Y35" s="8" t="n">
        <x:f>IF(21='合同排期'!H9,'合同排期'!K9*'合同排期'!P9,0)+IF(21='合同排期'!S9,'合同排期'!K9*'合同排期'!Q9,0)+IF(21='合同排期'!I9,'合同排期'!K9*'合同排期'!R9,0)+IF(21='合同排期'!J9,'合同排期'!L9,0)</x:f>
        <x:v>0</x:v>
      </x:c>
      <x:c r="Z35" s="8" t="n">
        <x:f>IF(22='合同排期'!H9,'合同排期'!K9*'合同排期'!P9,0)+IF(22='合同排期'!S9,'合同排期'!K9*'合同排期'!Q9,0)+IF(22='合同排期'!I9,'合同排期'!K9*'合同排期'!R9,0)+IF(22='合同排期'!J9,'合同排期'!L9,0)</x:f>
        <x:v>0</x:v>
      </x:c>
      <x:c r="AA35" s="8" t="n">
        <x:f>IF(23='合同排期'!H9,'合同排期'!K9*'合同排期'!P9,0)+IF(23='合同排期'!S9,'合同排期'!K9*'合同排期'!Q9,0)+IF(23='合同排期'!I9,'合同排期'!K9*'合同排期'!R9,0)+IF(23='合同排期'!J9,'合同排期'!L9,0)</x:f>
        <x:v>0</x:v>
      </x:c>
      <x:c r="AB35" s="8" t="n">
        <x:f>IF(24='合同排期'!H9,'合同排期'!K9*'合同排期'!P9,0)+IF(24='合同排期'!S9,'合同排期'!K9*'合同排期'!Q9,0)+IF(24='合同排期'!I9,'合同排期'!K9*'合同排期'!R9,0)+IF(24='合同排期'!J9,'合同排期'!L9,0)</x:f>
        <x:v>0</x:v>
      </x:c>
    </x:row>
    <x:row r="36" ht="23" customHeight="1">
      <x:c r="A36" s="1"/>
      <x:c r="B36" s="1"/>
      <x:c r="C36" s="1" t="str">
        <x:v>P04</x:v>
      </x:c>
      <x:c r="D36" s="1" t="str">
        <x:v>回款</x:v>
      </x:c>
      <x:c r="E36" s="8" t="n">
        <x:f>IF(1&gt;'假设'!D27,INDEX($E35:$AB35,1,1-'假设'!D27),0)</x:f>
        <x:v>0</x:v>
      </x:c>
      <x:c r="F36" s="8" t="n">
        <x:f>IF(2&gt;'假设'!D27,INDEX($E35:$AB35,1,2-'假设'!D27),0)</x:f>
        <x:v>0</x:v>
      </x:c>
      <x:c r="G36" s="8" t="n">
        <x:f>IF(3&gt;'假设'!D27,INDEX($E35:$AB35,1,3-'假设'!D27),0)</x:f>
        <x:v>0</x:v>
      </x:c>
      <x:c r="H36" s="8" t="n">
        <x:f>IF(4&gt;'假设'!D27,INDEX($E35:$AB35,1,4-'假设'!D27),0)</x:f>
        <x:v>0</x:v>
      </x:c>
      <x:c r="I36" s="8" t="n">
        <x:f>IF(5&gt;'假设'!D27,INDEX($E35:$AB35,1,5-'假设'!D27),0)</x:f>
        <x:v>0</x:v>
      </x:c>
      <x:c r="J36" s="8" t="n">
        <x:f>IF(6&gt;'假设'!D27,INDEX($E35:$AB35,1,6-'假设'!D27),0)</x:f>
        <x:v>0</x:v>
      </x:c>
      <x:c r="K36" s="8" t="n">
        <x:f>IF(7&gt;'假设'!D27,INDEX($E35:$AB35,1,7-'假设'!D27),0)</x:f>
        <x:v>2.4</x:v>
      </x:c>
      <x:c r="L36" s="8" t="n">
        <x:f>IF(8&gt;'假设'!D27,INDEX($E35:$AB35,1,8-'假设'!D27),0)</x:f>
        <x:v>5.6</x:v>
      </x:c>
      <x:c r="M36" s="8" t="n">
        <x:f>IF(9&gt;'假设'!D27,INDEX($E35:$AB35,1,9-'假设'!D27),0)</x:f>
        <x:v>0</x:v>
      </x:c>
      <x:c r="N36" s="8" t="n">
        <x:f>IF(10&gt;'假设'!D27,INDEX($E35:$AB35,1,10-'假设'!D27),0)</x:f>
        <x:v>0</x:v>
      </x:c>
      <x:c r="O36" s="8" t="n">
        <x:f>IF(11&gt;'假设'!D27,INDEX($E35:$AB35,1,11-'假设'!D27),0)</x:f>
        <x:v>0</x:v>
      </x:c>
      <x:c r="P36" s="8" t="n">
        <x:f>IF(12&gt;'假设'!D27,INDEX($E35:$AB35,1,12-'假设'!D27),0)</x:f>
        <x:v>0</x:v>
      </x:c>
      <x:c r="Q36" s="8" t="n">
        <x:f>IF(13&gt;'假设'!D27,INDEX($E35:$AB35,1,13-'假设'!D27),0)</x:f>
        <x:v>0</x:v>
      </x:c>
      <x:c r="R36" s="8" t="n">
        <x:f>IF(14&gt;'假设'!D27,INDEX($E35:$AB35,1,14-'假设'!D27),0)</x:f>
        <x:v>0</x:v>
      </x:c>
      <x:c r="S36" s="8" t="n">
        <x:f>IF(15&gt;'假设'!D27,INDEX($E35:$AB35,1,15-'假设'!D27),0)</x:f>
        <x:v>0</x:v>
      </x:c>
      <x:c r="T36" s="8" t="n">
        <x:f>IF(16&gt;'假设'!D27,INDEX($E35:$AB35,1,16-'假设'!D27),0)</x:f>
        <x:v>0</x:v>
      </x:c>
      <x:c r="U36" s="8" t="n">
        <x:f>IF(17&gt;'假设'!D27,INDEX($E35:$AB35,1,17-'假设'!D27),0)</x:f>
        <x:v>0</x:v>
      </x:c>
      <x:c r="V36" s="8" t="n">
        <x:f>IF(18&gt;'假设'!D27,INDEX($E35:$AB35,1,18-'假设'!D27),0)</x:f>
        <x:v>0</x:v>
      </x:c>
      <x:c r="W36" s="8" t="n">
        <x:f>IF(19&gt;'假设'!D27,INDEX($E35:$AB35,1,19-'假设'!D27),0)</x:f>
        <x:v>0</x:v>
      </x:c>
      <x:c r="X36" s="8" t="n">
        <x:f>IF(20&gt;'假设'!D27,INDEX($E35:$AB35,1,20-'假设'!D27),0)</x:f>
        <x:v>0</x:v>
      </x:c>
      <x:c r="Y36" s="8" t="n">
        <x:f>IF(21&gt;'假设'!D27,INDEX($E35:$AB35,1,21-'假设'!D27),0)</x:f>
        <x:v>0</x:v>
      </x:c>
      <x:c r="Z36" s="8" t="n">
        <x:f>IF(22&gt;'假设'!D27,INDEX($E35:$AB35,1,22-'假设'!D27),0)</x:f>
        <x:v>0</x:v>
      </x:c>
      <x:c r="AA36" s="8" t="n">
        <x:f>IF(23&gt;'假设'!D27,INDEX($E35:$AB35,1,23-'假设'!D27),0)</x:f>
        <x:v>0</x:v>
      </x:c>
      <x:c r="AB36" s="8" t="n">
        <x:f>IF(24&gt;'假设'!D27,INDEX($E35:$AB35,1,24-'假设'!D27),0)</x:f>
        <x:v>0</x:v>
      </x:c>
    </x:row>
    <x:row r="37" ht="23" customHeight="1">
      <x:c r="A37" s="1"/>
      <x:c r="B37" s="1"/>
      <x:c r="C37" s="1" t="str">
        <x:v>P04</x:v>
      </x:c>
      <x:c r="D37" s="1" t="str">
        <x:v>直接损益成本</x:v>
      </x:c>
      <x:c r="E37" s="8" t="n">
        <x:f>IF(1='合同排期'!I9,'合同排期'!N9,0)+IF(AND(1&gt;='合同排期'!J9,1&lt;'合同排期'!J9+12),'合同排期'!O9,0)+E33*'假设'!D47</x:f>
        <x:v>0</x:v>
      </x:c>
      <x:c r="F37" s="8" t="n">
        <x:f>IF(2='合同排期'!I9,'合同排期'!N9,0)+IF(AND(2&gt;='合同排期'!J9,2&lt;'合同排期'!J9+12),'合同排期'!O9,0)+F33*'假设'!D47</x:f>
        <x:v>0</x:v>
      </x:c>
      <x:c r="G37" s="8" t="n">
        <x:f>IF(3='合同排期'!I9,'合同排期'!N9,0)+IF(AND(3&gt;='合同排期'!J9,3&lt;'合同排期'!J9+12),'合同排期'!O9,0)+G33*'假设'!D47</x:f>
        <x:v>0</x:v>
      </x:c>
      <x:c r="H37" s="8" t="n">
        <x:f>IF(4='合同排期'!I9,'合同排期'!N9,0)+IF(AND(4&gt;='合同排期'!J9,4&lt;'合同排期'!J9+12),'合同排期'!O9,0)+H33*'假设'!D47</x:f>
        <x:v>0</x:v>
      </x:c>
      <x:c r="I37" s="8" t="n">
        <x:f>IF(5='合同排期'!I9,'合同排期'!N9,0)+IF(AND(5&gt;='合同排期'!J9,5&lt;'合同排期'!J9+12),'合同排期'!O9,0)+I33*'假设'!D47</x:f>
        <x:v>0</x:v>
      </x:c>
      <x:c r="J37" s="8" t="n">
        <x:f>IF(6='合同排期'!I9,'合同排期'!N9,0)+IF(AND(6&gt;='合同排期'!J9,6&lt;'合同排期'!J9+12),'合同排期'!O9,0)+J33*'假设'!D47</x:f>
        <x:v>0.4</x:v>
      </x:c>
      <x:c r="K37" s="8" t="n">
        <x:f>IF(7='合同排期'!I9,'合同排期'!N9,0)+IF(AND(7&gt;='合同排期'!J9,7&lt;'合同排期'!J9+12),'合同排期'!O9,0)+K33*'假设'!D47</x:f>
        <x:v>3.7</x:v>
      </x:c>
      <x:c r="L37" s="8" t="n">
        <x:f>IF(8='合同排期'!I9,'合同排期'!N9,0)+IF(AND(8&gt;='合同排期'!J9,8&lt;'合同排期'!J9+12),'合同排期'!O9,0)+L33*'假设'!D47</x:f>
        <x:v>0</x:v>
      </x:c>
      <x:c r="M37" s="8" t="n">
        <x:f>IF(9='合同排期'!I9,'合同排期'!N9,0)+IF(AND(9&gt;='合同排期'!J9,9&lt;'合同排期'!J9+12),'合同排期'!O9,0)+M33*'假设'!D47</x:f>
        <x:v>0</x:v>
      </x:c>
      <x:c r="N37" s="8" t="n">
        <x:f>IF(10='合同排期'!I9,'合同排期'!N9,0)+IF(AND(10&gt;='合同排期'!J9,10&lt;'合同排期'!J9+12),'合同排期'!O9,0)+N33*'假设'!D47</x:f>
        <x:v>0</x:v>
      </x:c>
      <x:c r="O37" s="8" t="n">
        <x:f>IF(11='合同排期'!I9,'合同排期'!N9,0)+IF(AND(11&gt;='合同排期'!J9,11&lt;'合同排期'!J9+12),'合同排期'!O9,0)+O33*'假设'!D47</x:f>
        <x:v>0</x:v>
      </x:c>
      <x:c r="P37" s="8" t="n">
        <x:f>IF(12='合同排期'!I9,'合同排期'!N9,0)+IF(AND(12&gt;='合同排期'!J9,12&lt;'合同排期'!J9+12),'合同排期'!O9,0)+P33*'假设'!D47</x:f>
        <x:v>0</x:v>
      </x:c>
      <x:c r="Q37" s="8" t="n">
        <x:f>IF(13='合同排期'!I9,'合同排期'!N9,0)+IF(AND(13&gt;='合同排期'!J9,13&lt;'合同排期'!J9+12),'合同排期'!O9,0)+Q33*'假设'!D47</x:f>
        <x:v>0</x:v>
      </x:c>
      <x:c r="R37" s="8" t="n">
        <x:f>IF(14='合同排期'!I9,'合同排期'!N9,0)+IF(AND(14&gt;='合同排期'!J9,14&lt;'合同排期'!J9+12),'合同排期'!O9,0)+R33*'假设'!D47</x:f>
        <x:v>0</x:v>
      </x:c>
      <x:c r="S37" s="8" t="n">
        <x:f>IF(15='合同排期'!I9,'合同排期'!N9,0)+IF(AND(15&gt;='合同排期'!J9,15&lt;'合同排期'!J9+12),'合同排期'!O9,0)+S33*'假设'!D47</x:f>
        <x:v>0</x:v>
      </x:c>
      <x:c r="T37" s="8" t="n">
        <x:f>IF(16='合同排期'!I9,'合同排期'!N9,0)+IF(AND(16&gt;='合同排期'!J9,16&lt;'合同排期'!J9+12),'合同排期'!O9,0)+T33*'假设'!D47</x:f>
        <x:v>0</x:v>
      </x:c>
      <x:c r="U37" s="8" t="n">
        <x:f>IF(17='合同排期'!I9,'合同排期'!N9,0)+IF(AND(17&gt;='合同排期'!J9,17&lt;'合同排期'!J9+12),'合同排期'!O9,0)+U33*'假设'!D47</x:f>
        <x:v>0</x:v>
      </x:c>
      <x:c r="V37" s="8" t="n">
        <x:f>IF(18='合同排期'!I9,'合同排期'!N9,0)+IF(AND(18&gt;='合同排期'!J9,18&lt;'合同排期'!J9+12),'合同排期'!O9,0)+V33*'假设'!D47</x:f>
        <x:v>0</x:v>
      </x:c>
      <x:c r="W37" s="8" t="n">
        <x:f>IF(19='合同排期'!I9,'合同排期'!N9,0)+IF(AND(19&gt;='合同排期'!J9,19&lt;'合同排期'!J9+12),'合同排期'!O9,0)+W33*'假设'!D47</x:f>
        <x:v>0</x:v>
      </x:c>
      <x:c r="X37" s="8" t="n">
        <x:f>IF(20='合同排期'!I9,'合同排期'!N9,0)+IF(AND(20&gt;='合同排期'!J9,20&lt;'合同排期'!J9+12),'合同排期'!O9,0)+X33*'假设'!D47</x:f>
        <x:v>0</x:v>
      </x:c>
      <x:c r="Y37" s="8" t="n">
        <x:f>IF(21='合同排期'!I9,'合同排期'!N9,0)+IF(AND(21&gt;='合同排期'!J9,21&lt;'合同排期'!J9+12),'合同排期'!O9,0)+Y33*'假设'!D47</x:f>
        <x:v>0</x:v>
      </x:c>
      <x:c r="Z37" s="8" t="n">
        <x:f>IF(22='合同排期'!I9,'合同排期'!N9,0)+IF(AND(22&gt;='合同排期'!J9,22&lt;'合同排期'!J9+12),'合同排期'!O9,0)+Z33*'假设'!D47</x:f>
        <x:v>0</x:v>
      </x:c>
      <x:c r="AA37" s="8" t="n">
        <x:f>IF(23='合同排期'!I9,'合同排期'!N9,0)+IF(AND(23&gt;='合同排期'!J9,23&lt;'合同排期'!J9+12),'合同排期'!O9,0)+AA33*'假设'!D47</x:f>
        <x:v>0</x:v>
      </x:c>
      <x:c r="AB37" s="8" t="n">
        <x:f>IF(24='合同排期'!I9,'合同排期'!N9,0)+IF(AND(24&gt;='合同排期'!J9,24&lt;'合同排期'!J9+12),'合同排期'!O9,0)+AB33*'假设'!D47</x:f>
        <x:v>0</x:v>
      </x:c>
    </x:row>
    <x:row r="38" ht="23" customHeight="1">
      <x:c r="A38" s="1"/>
      <x:c r="B38" s="1"/>
      <x:c r="C38" s="1" t="str">
        <x:v>P04</x:v>
      </x:c>
      <x:c r="D38" s="1" t="str">
        <x:v>直接现金成本</x:v>
      </x:c>
      <x:c r="E38" s="8" t="n">
        <x:f>IF(AND(1&gt;='合同排期'!H9,1&lt;='合同排期'!I9),'合同排期'!N9/('合同排期'!I9-'合同排期'!H9+1),0)+IF(AND(1&gt;='合同排期'!J9,1&lt;'合同排期'!J9+12),'合同排期'!O9,0)+E36*'假设'!D47</x:f>
        <x:v>0</x:v>
      </x:c>
      <x:c r="F38" s="8" t="n">
        <x:f>IF(AND(2&gt;='合同排期'!H9,2&lt;='合同排期'!I9),'合同排期'!N9/('合同排期'!I9-'合同排期'!H9+1),0)+IF(AND(2&gt;='合同排期'!J9,2&lt;'合同排期'!J9+12),'合同排期'!O9,0)+F36*'假设'!D47</x:f>
        <x:v>0</x:v>
      </x:c>
      <x:c r="G38" s="8" t="n">
        <x:f>IF(AND(3&gt;='合同排期'!H9,3&lt;='合同排期'!I9),'合同排期'!N9/('合同排期'!I9-'合同排期'!H9+1),0)+IF(AND(3&gt;='合同排期'!J9,3&lt;'合同排期'!J9+12),'合同排期'!O9,0)+G36*'假设'!D47</x:f>
        <x:v>0</x:v>
      </x:c>
      <x:c r="H38" s="8" t="n">
        <x:f>IF(AND(4&gt;='合同排期'!H9,4&lt;='合同排期'!I9),'合同排期'!N9/('合同排期'!I9-'合同排期'!H9+1),0)+IF(AND(4&gt;='合同排期'!J9,4&lt;'合同排期'!J9+12),'合同排期'!O9,0)+H36*'假设'!D47</x:f>
        <x:v>0</x:v>
      </x:c>
      <x:c r="I38" s="8" t="n">
        <x:f>IF(AND(5&gt;='合同排期'!H9,5&lt;='合同排期'!I9),'合同排期'!N9/('合同排期'!I9-'合同排期'!H9+1),0)+IF(AND(5&gt;='合同排期'!J9,5&lt;'合同排期'!J9+12),'合同排期'!O9,0)+I36*'假设'!D47</x:f>
        <x:v>0</x:v>
      </x:c>
      <x:c r="J38" s="8" t="n">
        <x:f>IF(AND(6&gt;='合同排期'!H9,6&lt;='合同排期'!I9),'合同排期'!N9/('合同排期'!I9-'合同排期'!H9+1),0)+IF(AND(6&gt;='合同排期'!J9,6&lt;'合同排期'!J9+12),'合同排期'!O9,0)+J36*'假设'!D47</x:f>
        <x:v>1.85</x:v>
      </x:c>
      <x:c r="K38" s="8" t="n">
        <x:f>IF(AND(7&gt;='合同排期'!H9,7&lt;='合同排期'!I9),'合同排期'!N9/('合同排期'!I9-'合同排期'!H9+1),0)+IF(AND(7&gt;='合同排期'!J9,7&lt;'合同排期'!J9+12),'合同排期'!O9,0)+K36*'假设'!D47</x:f>
        <x:v>1.9700000000000002</x:v>
      </x:c>
      <x:c r="L38" s="8" t="n">
        <x:f>IF(AND(8&gt;='合同排期'!H9,8&lt;='合同排期'!I9),'合同排期'!N9/('合同排期'!I9-'合同排期'!H9+1),0)+IF(AND(8&gt;='合同排期'!J9,8&lt;'合同排期'!J9+12),'合同排期'!O9,0)+L36*'假设'!D47</x:f>
        <x:v>0.27999999999999997</x:v>
      </x:c>
      <x:c r="M38" s="8" t="n">
        <x:f>IF(AND(9&gt;='合同排期'!H9,9&lt;='合同排期'!I9),'合同排期'!N9/('合同排期'!I9-'合同排期'!H9+1),0)+IF(AND(9&gt;='合同排期'!J9,9&lt;'合同排期'!J9+12),'合同排期'!O9,0)+M36*'假设'!D47</x:f>
        <x:v>0</x:v>
      </x:c>
      <x:c r="N38" s="8" t="n">
        <x:f>IF(AND(10&gt;='合同排期'!H9,10&lt;='合同排期'!I9),'合同排期'!N9/('合同排期'!I9-'合同排期'!H9+1),0)+IF(AND(10&gt;='合同排期'!J9,10&lt;'合同排期'!J9+12),'合同排期'!O9,0)+N36*'假设'!D47</x:f>
        <x:v>0</x:v>
      </x:c>
      <x:c r="O38" s="8" t="n">
        <x:f>IF(AND(11&gt;='合同排期'!H9,11&lt;='合同排期'!I9),'合同排期'!N9/('合同排期'!I9-'合同排期'!H9+1),0)+IF(AND(11&gt;='合同排期'!J9,11&lt;'合同排期'!J9+12),'合同排期'!O9,0)+O36*'假设'!D47</x:f>
        <x:v>0</x:v>
      </x:c>
      <x:c r="P38" s="8" t="n">
        <x:f>IF(AND(12&gt;='合同排期'!H9,12&lt;='合同排期'!I9),'合同排期'!N9/('合同排期'!I9-'合同排期'!H9+1),0)+IF(AND(12&gt;='合同排期'!J9,12&lt;'合同排期'!J9+12),'合同排期'!O9,0)+P36*'假设'!D47</x:f>
        <x:v>0</x:v>
      </x:c>
      <x:c r="Q38" s="8" t="n">
        <x:f>IF(AND(13&gt;='合同排期'!H9,13&lt;='合同排期'!I9),'合同排期'!N9/('合同排期'!I9-'合同排期'!H9+1),0)+IF(AND(13&gt;='合同排期'!J9,13&lt;'合同排期'!J9+12),'合同排期'!O9,0)+Q36*'假设'!D47</x:f>
        <x:v>0</x:v>
      </x:c>
      <x:c r="R38" s="8" t="n">
        <x:f>IF(AND(14&gt;='合同排期'!H9,14&lt;='合同排期'!I9),'合同排期'!N9/('合同排期'!I9-'合同排期'!H9+1),0)+IF(AND(14&gt;='合同排期'!J9,14&lt;'合同排期'!J9+12),'合同排期'!O9,0)+R36*'假设'!D47</x:f>
        <x:v>0</x:v>
      </x:c>
      <x:c r="S38" s="8" t="n">
        <x:f>IF(AND(15&gt;='合同排期'!H9,15&lt;='合同排期'!I9),'合同排期'!N9/('合同排期'!I9-'合同排期'!H9+1),0)+IF(AND(15&gt;='合同排期'!J9,15&lt;'合同排期'!J9+12),'合同排期'!O9,0)+S36*'假设'!D47</x:f>
        <x:v>0</x:v>
      </x:c>
      <x:c r="T38" s="8" t="n">
        <x:f>IF(AND(16&gt;='合同排期'!H9,16&lt;='合同排期'!I9),'合同排期'!N9/('合同排期'!I9-'合同排期'!H9+1),0)+IF(AND(16&gt;='合同排期'!J9,16&lt;'合同排期'!J9+12),'合同排期'!O9,0)+T36*'假设'!D47</x:f>
        <x:v>0</x:v>
      </x:c>
      <x:c r="U38" s="8" t="n">
        <x:f>IF(AND(17&gt;='合同排期'!H9,17&lt;='合同排期'!I9),'合同排期'!N9/('合同排期'!I9-'合同排期'!H9+1),0)+IF(AND(17&gt;='合同排期'!J9,17&lt;'合同排期'!J9+12),'合同排期'!O9,0)+U36*'假设'!D47</x:f>
        <x:v>0</x:v>
      </x:c>
      <x:c r="V38" s="8" t="n">
        <x:f>IF(AND(18&gt;='合同排期'!H9,18&lt;='合同排期'!I9),'合同排期'!N9/('合同排期'!I9-'合同排期'!H9+1),0)+IF(AND(18&gt;='合同排期'!J9,18&lt;'合同排期'!J9+12),'合同排期'!O9,0)+V36*'假设'!D47</x:f>
        <x:v>0</x:v>
      </x:c>
      <x:c r="W38" s="8" t="n">
        <x:f>IF(AND(19&gt;='合同排期'!H9,19&lt;='合同排期'!I9),'合同排期'!N9/('合同排期'!I9-'合同排期'!H9+1),0)+IF(AND(19&gt;='合同排期'!J9,19&lt;'合同排期'!J9+12),'合同排期'!O9,0)+W36*'假设'!D47</x:f>
        <x:v>0</x:v>
      </x:c>
      <x:c r="X38" s="8" t="n">
        <x:f>IF(AND(20&gt;='合同排期'!H9,20&lt;='合同排期'!I9),'合同排期'!N9/('合同排期'!I9-'合同排期'!H9+1),0)+IF(AND(20&gt;='合同排期'!J9,20&lt;'合同排期'!J9+12),'合同排期'!O9,0)+X36*'假设'!D47</x:f>
        <x:v>0</x:v>
      </x:c>
      <x:c r="Y38" s="8" t="n">
        <x:f>IF(AND(21&gt;='合同排期'!H9,21&lt;='合同排期'!I9),'合同排期'!N9/('合同排期'!I9-'合同排期'!H9+1),0)+IF(AND(21&gt;='合同排期'!J9,21&lt;'合同排期'!J9+12),'合同排期'!O9,0)+Y36*'假设'!D47</x:f>
        <x:v>0</x:v>
      </x:c>
      <x:c r="Z38" s="8" t="n">
        <x:f>IF(AND(22&gt;='合同排期'!H9,22&lt;='合同排期'!I9),'合同排期'!N9/('合同排期'!I9-'合同排期'!H9+1),0)+IF(AND(22&gt;='合同排期'!J9,22&lt;'合同排期'!J9+12),'合同排期'!O9,0)+Z36*'假设'!D47</x:f>
        <x:v>0</x:v>
      </x:c>
      <x:c r="AA38" s="8" t="n">
        <x:f>IF(AND(23&gt;='合同排期'!H9,23&lt;='合同排期'!I9),'合同排期'!N9/('合同排期'!I9-'合同排期'!H9+1),0)+IF(AND(23&gt;='合同排期'!J9,23&lt;'合同排期'!J9+12),'合同排期'!O9,0)+AA36*'假设'!D47</x:f>
        <x:v>0</x:v>
      </x:c>
      <x:c r="AB38" s="8" t="n">
        <x:f>IF(AND(24&gt;='合同排期'!H9,24&lt;='合同排期'!I9),'合同排期'!N9/('合同排期'!I9-'合同排期'!H9+1),0)+IF(AND(24&gt;='合同排期'!J9,24&lt;'合同排期'!J9+12),'合同排期'!O9,0)+AB36*'假设'!D47</x:f>
        <x:v>0</x:v>
      </x:c>
    </x:row>
    <x:row r="39" ht="23" customHeight="1">
      <x:c r="A39" s="1"/>
      <x:c r="B39" s="1"/>
      <x:c r="C39" s="1" t="str">
        <x:v>P04</x:v>
      </x:c>
      <x:c r="D39" s="1" t="str">
        <x:v>工程交付人月</x:v>
      </x:c>
      <x:c r="E39" s="8" t="n">
        <x:f>IF(AND(1&gt;='合同排期'!H9,1&lt;='合同排期'!I9),'合同排期'!M9/('合同排期'!I9-'合同排期'!H9+1),0)</x:f>
        <x:v>0</x:v>
      </x:c>
      <x:c r="F39" s="8" t="n">
        <x:f>IF(AND(2&gt;='合同排期'!H9,2&lt;='合同排期'!I9),'合同排期'!M9/('合同排期'!I9-'合同排期'!H9+1),0)</x:f>
        <x:v>0</x:v>
      </x:c>
      <x:c r="G39" s="8" t="n">
        <x:f>IF(AND(3&gt;='合同排期'!H9,3&lt;='合同排期'!I9),'合同排期'!M9/('合同排期'!I9-'合同排期'!H9+1),0)</x:f>
        <x:v>0</x:v>
      </x:c>
      <x:c r="H39" s="8" t="n">
        <x:f>IF(AND(4&gt;='合同排期'!H9,4&lt;='合同排期'!I9),'合同排期'!M9/('合同排期'!I9-'合同排期'!H9+1),0)</x:f>
        <x:v>0</x:v>
      </x:c>
      <x:c r="I39" s="8" t="n">
        <x:f>IF(AND(5&gt;='合同排期'!H9,5&lt;='合同排期'!I9),'合同排期'!M9/('合同排期'!I9-'合同排期'!H9+1),0)</x:f>
        <x:v>0</x:v>
      </x:c>
      <x:c r="J39" s="8" t="n">
        <x:f>IF(AND(6&gt;='合同排期'!H9,6&lt;='合同排期'!I9),'合同排期'!M9/('合同排期'!I9-'合同排期'!H9+1),0)</x:f>
        <x:v>1.5</x:v>
      </x:c>
      <x:c r="K39" s="8" t="n">
        <x:f>IF(AND(7&gt;='合同排期'!H9,7&lt;='合同排期'!I9),'合同排期'!M9/('合同排期'!I9-'合同排期'!H9+1),0)</x:f>
        <x:v>1.5</x:v>
      </x:c>
      <x:c r="L39" s="8" t="n">
        <x:f>IF(AND(8&gt;='合同排期'!H9,8&lt;='合同排期'!I9),'合同排期'!M9/('合同排期'!I9-'合同排期'!H9+1),0)</x:f>
        <x:v>0</x:v>
      </x:c>
      <x:c r="M39" s="8" t="n">
        <x:f>IF(AND(9&gt;='合同排期'!H9,9&lt;='合同排期'!I9),'合同排期'!M9/('合同排期'!I9-'合同排期'!H9+1),0)</x:f>
        <x:v>0</x:v>
      </x:c>
      <x:c r="N39" s="8" t="n">
        <x:f>IF(AND(10&gt;='合同排期'!H9,10&lt;='合同排期'!I9),'合同排期'!M9/('合同排期'!I9-'合同排期'!H9+1),0)</x:f>
        <x:v>0</x:v>
      </x:c>
      <x:c r="O39" s="8" t="n">
        <x:f>IF(AND(11&gt;='合同排期'!H9,11&lt;='合同排期'!I9),'合同排期'!M9/('合同排期'!I9-'合同排期'!H9+1),0)</x:f>
        <x:v>0</x:v>
      </x:c>
      <x:c r="P39" s="8" t="n">
        <x:f>IF(AND(12&gt;='合同排期'!H9,12&lt;='合同排期'!I9),'合同排期'!M9/('合同排期'!I9-'合同排期'!H9+1),0)</x:f>
        <x:v>0</x:v>
      </x:c>
      <x:c r="Q39" s="8" t="n">
        <x:f>IF(AND(13&gt;='合同排期'!H9,13&lt;='合同排期'!I9),'合同排期'!M9/('合同排期'!I9-'合同排期'!H9+1),0)</x:f>
        <x:v>0</x:v>
      </x:c>
      <x:c r="R39" s="8" t="n">
        <x:f>IF(AND(14&gt;='合同排期'!H9,14&lt;='合同排期'!I9),'合同排期'!M9/('合同排期'!I9-'合同排期'!H9+1),0)</x:f>
        <x:v>0</x:v>
      </x:c>
      <x:c r="S39" s="8" t="n">
        <x:f>IF(AND(15&gt;='合同排期'!H9,15&lt;='合同排期'!I9),'合同排期'!M9/('合同排期'!I9-'合同排期'!H9+1),0)</x:f>
        <x:v>0</x:v>
      </x:c>
      <x:c r="T39" s="8" t="n">
        <x:f>IF(AND(16&gt;='合同排期'!H9,16&lt;='合同排期'!I9),'合同排期'!M9/('合同排期'!I9-'合同排期'!H9+1),0)</x:f>
        <x:v>0</x:v>
      </x:c>
      <x:c r="U39" s="8" t="n">
        <x:f>IF(AND(17&gt;='合同排期'!H9,17&lt;='合同排期'!I9),'合同排期'!M9/('合同排期'!I9-'合同排期'!H9+1),0)</x:f>
        <x:v>0</x:v>
      </x:c>
      <x:c r="V39" s="8" t="n">
        <x:f>IF(AND(18&gt;='合同排期'!H9,18&lt;='合同排期'!I9),'合同排期'!M9/('合同排期'!I9-'合同排期'!H9+1),0)</x:f>
        <x:v>0</x:v>
      </x:c>
      <x:c r="W39" s="8" t="n">
        <x:f>IF(AND(19&gt;='合同排期'!H9,19&lt;='合同排期'!I9),'合同排期'!M9/('合同排期'!I9-'合同排期'!H9+1),0)</x:f>
        <x:v>0</x:v>
      </x:c>
      <x:c r="X39" s="8" t="n">
        <x:f>IF(AND(20&gt;='合同排期'!H9,20&lt;='合同排期'!I9),'合同排期'!M9/('合同排期'!I9-'合同排期'!H9+1),0)</x:f>
        <x:v>0</x:v>
      </x:c>
      <x:c r="Y39" s="8" t="n">
        <x:f>IF(AND(21&gt;='合同排期'!H9,21&lt;='合同排期'!I9),'合同排期'!M9/('合同排期'!I9-'合同排期'!H9+1),0)</x:f>
        <x:v>0</x:v>
      </x:c>
      <x:c r="Z39" s="8" t="n">
        <x:f>IF(AND(22&gt;='合同排期'!H9,22&lt;='合同排期'!I9),'合同排期'!M9/('合同排期'!I9-'合同排期'!H9+1),0)</x:f>
        <x:v>0</x:v>
      </x:c>
      <x:c r="AA39" s="8" t="n">
        <x:f>IF(AND(23&gt;='合同排期'!H9,23&lt;='合同排期'!I9),'合同排期'!M9/('合同排期'!I9-'合同排期'!H9+1),0)</x:f>
        <x:v>0</x:v>
      </x:c>
      <x:c r="AB39" s="8" t="n">
        <x:f>IF(AND(24&gt;='合同排期'!H9,24&lt;='合同排期'!I9),'合同排期'!M9/('合同排期'!I9-'合同排期'!H9+1),0)</x:f>
        <x:v>0</x:v>
      </x:c>
    </x:row>
    <x:row r="40" ht="23" customHeight="1">
      <x:c r="A40" s="1"/>
      <x:c r="B40" s="1"/>
      <x:c r="C40" s="1" t="str">
        <x:v>P04</x:v>
      </x:c>
      <x:c r="D40" s="1" t="str">
        <x:v>生效ARR</x:v>
      </x:c>
      <x:c r="E40" s="8" t="n">
        <x:f>IF(AND(1&gt;='合同排期'!J9,1&lt;'合同排期'!J9+12),'合同排期'!L9,0)</x:f>
        <x:v>0</x:v>
      </x:c>
      <x:c r="F40" s="8" t="n">
        <x:f>IF(AND(2&gt;='合同排期'!J9,2&lt;'合同排期'!J9+12),'合同排期'!L9,0)</x:f>
        <x:v>0</x:v>
      </x:c>
      <x:c r="G40" s="8" t="n">
        <x:f>IF(AND(3&gt;='合同排期'!J9,3&lt;'合同排期'!J9+12),'合同排期'!L9,0)</x:f>
        <x:v>0</x:v>
      </x:c>
      <x:c r="H40" s="8" t="n">
        <x:f>IF(AND(4&gt;='合同排期'!J9,4&lt;'合同排期'!J9+12),'合同排期'!L9,0)</x:f>
        <x:v>0</x:v>
      </x:c>
      <x:c r="I40" s="8" t="n">
        <x:f>IF(AND(5&gt;='合同排期'!J9,5&lt;'合同排期'!J9+12),'合同排期'!L9,0)</x:f>
        <x:v>0</x:v>
      </x:c>
      <x:c r="J40" s="8" t="n">
        <x:f>IF(AND(6&gt;='合同排期'!J9,6&lt;'合同排期'!J9+12),'合同排期'!L9,0)</x:f>
        <x:v>0</x:v>
      </x:c>
      <x:c r="K40" s="8" t="n">
        <x:f>IF(AND(7&gt;='合同排期'!J9,7&lt;'合同排期'!J9+12),'合同排期'!L9,0)</x:f>
        <x:v>0</x:v>
      </x:c>
      <x:c r="L40" s="8" t="n">
        <x:f>IF(AND(8&gt;='合同排期'!J9,8&lt;'合同排期'!J9+12),'合同排期'!L9,0)</x:f>
        <x:v>0</x:v>
      </x:c>
      <x:c r="M40" s="8" t="n">
        <x:f>IF(AND(9&gt;='合同排期'!J9,9&lt;'合同排期'!J9+12),'合同排期'!L9,0)</x:f>
        <x:v>0</x:v>
      </x:c>
      <x:c r="N40" s="8" t="n">
        <x:f>IF(AND(10&gt;='合同排期'!J9,10&lt;'合同排期'!J9+12),'合同排期'!L9,0)</x:f>
        <x:v>0</x:v>
      </x:c>
      <x:c r="O40" s="8" t="n">
        <x:f>IF(AND(11&gt;='合同排期'!J9,11&lt;'合同排期'!J9+12),'合同排期'!L9,0)</x:f>
        <x:v>0</x:v>
      </x:c>
      <x:c r="P40" s="8" t="n">
        <x:f>IF(AND(12&gt;='合同排期'!J9,12&lt;'合同排期'!J9+12),'合同排期'!L9,0)</x:f>
        <x:v>0</x:v>
      </x:c>
      <x:c r="Q40" s="8" t="n">
        <x:f>IF(AND(13&gt;='合同排期'!J9,13&lt;'合同排期'!J9+12),'合同排期'!L9,0)</x:f>
        <x:v>0</x:v>
      </x:c>
      <x:c r="R40" s="8" t="n">
        <x:f>IF(AND(14&gt;='合同排期'!J9,14&lt;'合同排期'!J9+12),'合同排期'!L9,0)</x:f>
        <x:v>0</x:v>
      </x:c>
      <x:c r="S40" s="8" t="n">
        <x:f>IF(AND(15&gt;='合同排期'!J9,15&lt;'合同排期'!J9+12),'合同排期'!L9,0)</x:f>
        <x:v>0</x:v>
      </x:c>
      <x:c r="T40" s="8" t="n">
        <x:f>IF(AND(16&gt;='合同排期'!J9,16&lt;'合同排期'!J9+12),'合同排期'!L9,0)</x:f>
        <x:v>0</x:v>
      </x:c>
      <x:c r="U40" s="8" t="n">
        <x:f>IF(AND(17&gt;='合同排期'!J9,17&lt;'合同排期'!J9+12),'合同排期'!L9,0)</x:f>
        <x:v>0</x:v>
      </x:c>
      <x:c r="V40" s="8" t="n">
        <x:f>IF(AND(18&gt;='合同排期'!J9,18&lt;'合同排期'!J9+12),'合同排期'!L9,0)</x:f>
        <x:v>0</x:v>
      </x:c>
      <x:c r="W40" s="8" t="n">
        <x:f>IF(AND(19&gt;='合同排期'!J9,19&lt;'合同排期'!J9+12),'合同排期'!L9,0)</x:f>
        <x:v>0</x:v>
      </x:c>
      <x:c r="X40" s="8" t="n">
        <x:f>IF(AND(20&gt;='合同排期'!J9,20&lt;'合同排期'!J9+12),'合同排期'!L9,0)</x:f>
        <x:v>0</x:v>
      </x:c>
      <x:c r="Y40" s="8" t="n">
        <x:f>IF(AND(21&gt;='合同排期'!J9,21&lt;'合同排期'!J9+12),'合同排期'!L9,0)</x:f>
        <x:v>0</x:v>
      </x:c>
      <x:c r="Z40" s="8" t="n">
        <x:f>IF(AND(22&gt;='合同排期'!J9,22&lt;'合同排期'!J9+12),'合同排期'!L9,0)</x:f>
        <x:v>0</x:v>
      </x:c>
      <x:c r="AA40" s="8" t="n">
        <x:f>IF(AND(23&gt;='合同排期'!J9,23&lt;'合同排期'!J9+12),'合同排期'!L9,0)</x:f>
        <x:v>0</x:v>
      </x:c>
      <x:c r="AB40" s="8" t="n">
        <x:f>IF(AND(24&gt;='合同排期'!J9,24&lt;'合同排期'!J9+12),'合同排期'!L9,0)</x:f>
        <x:v>0</x:v>
      </x:c>
    </x:row>
    <x:row r="41" ht="2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  <x:c r="AA41" s="1"/>
      <x:c r="AB41" s="1"/>
    </x:row>
    <x:row r="42" ht="23" customHeight="1">
      <x:c r="A42" s="1"/>
      <x:c r="B42" s="1"/>
      <x:c r="C42" s="1" t="str">
        <x:v>P05</x:v>
      </x:c>
      <x:c r="D42" s="1" t="str">
        <x:v>净签约</x:v>
      </x:c>
      <x:c r="E42" s="8" t="n">
        <x:f>IF(1='合同排期'!H10,'合同排期'!K10+'合同排期'!L10,0)</x:f>
        <x:v>0</x:v>
      </x:c>
      <x:c r="F42" s="8" t="n">
        <x:f>IF(2='合同排期'!H10,'合同排期'!K10+'合同排期'!L10,0)</x:f>
        <x:v>0</x:v>
      </x:c>
      <x:c r="G42" s="8" t="n">
        <x:f>IF(3='合同排期'!H10,'合同排期'!K10+'合同排期'!L10,0)</x:f>
        <x:v>0</x:v>
      </x:c>
      <x:c r="H42" s="8" t="n">
        <x:f>IF(4='合同排期'!H10,'合同排期'!K10+'合同排期'!L10,0)</x:f>
        <x:v>0</x:v>
      </x:c>
      <x:c r="I42" s="8" t="n">
        <x:f>IF(5='合同排期'!H10,'合同排期'!K10+'合同排期'!L10,0)</x:f>
        <x:v>0</x:v>
      </x:c>
      <x:c r="J42" s="8" t="n">
        <x:f>IF(6='合同排期'!H10,'合同排期'!K10+'合同排期'!L10,0)</x:f>
        <x:v>0</x:v>
      </x:c>
      <x:c r="K42" s="8" t="n">
        <x:f>IF(7='合同排期'!H10,'合同排期'!K10+'合同排期'!L10,0)</x:f>
        <x:v>8</x:v>
      </x:c>
      <x:c r="L42" s="8" t="n">
        <x:f>IF(8='合同排期'!H10,'合同排期'!K10+'合同排期'!L10,0)</x:f>
        <x:v>0</x:v>
      </x:c>
      <x:c r="M42" s="8" t="n">
        <x:f>IF(9='合同排期'!H10,'合同排期'!K10+'合同排期'!L10,0)</x:f>
        <x:v>0</x:v>
      </x:c>
      <x:c r="N42" s="8" t="n">
        <x:f>IF(10='合同排期'!H10,'合同排期'!K10+'合同排期'!L10,0)</x:f>
        <x:v>0</x:v>
      </x:c>
      <x:c r="O42" s="8" t="n">
        <x:f>IF(11='合同排期'!H10,'合同排期'!K10+'合同排期'!L10,0)</x:f>
        <x:v>0</x:v>
      </x:c>
      <x:c r="P42" s="8" t="n">
        <x:f>IF(12='合同排期'!H10,'合同排期'!K10+'合同排期'!L10,0)</x:f>
        <x:v>0</x:v>
      </x:c>
      <x:c r="Q42" s="8" t="n">
        <x:f>IF(13='合同排期'!H10,'合同排期'!K10+'合同排期'!L10,0)</x:f>
        <x:v>0</x:v>
      </x:c>
      <x:c r="R42" s="8" t="n">
        <x:f>IF(14='合同排期'!H10,'合同排期'!K10+'合同排期'!L10,0)</x:f>
        <x:v>0</x:v>
      </x:c>
      <x:c r="S42" s="8" t="n">
        <x:f>IF(15='合同排期'!H10,'合同排期'!K10+'合同排期'!L10,0)</x:f>
        <x:v>0</x:v>
      </x:c>
      <x:c r="T42" s="8" t="n">
        <x:f>IF(16='合同排期'!H10,'合同排期'!K10+'合同排期'!L10,0)</x:f>
        <x:v>0</x:v>
      </x:c>
      <x:c r="U42" s="8" t="n">
        <x:f>IF(17='合同排期'!H10,'合同排期'!K10+'合同排期'!L10,0)</x:f>
        <x:v>0</x:v>
      </x:c>
      <x:c r="V42" s="8" t="n">
        <x:f>IF(18='合同排期'!H10,'合同排期'!K10+'合同排期'!L10,0)</x:f>
        <x:v>0</x:v>
      </x:c>
      <x:c r="W42" s="8" t="n">
        <x:f>IF(19='合同排期'!H10,'合同排期'!K10+'合同排期'!L10,0)</x:f>
        <x:v>0</x:v>
      </x:c>
      <x:c r="X42" s="8" t="n">
        <x:f>IF(20='合同排期'!H10,'合同排期'!K10+'合同排期'!L10,0)</x:f>
        <x:v>0</x:v>
      </x:c>
      <x:c r="Y42" s="8" t="n">
        <x:f>IF(21='合同排期'!H10,'合同排期'!K10+'合同排期'!L10,0)</x:f>
        <x:v>0</x:v>
      </x:c>
      <x:c r="Z42" s="8" t="n">
        <x:f>IF(22='合同排期'!H10,'合同排期'!K10+'合同排期'!L10,0)</x:f>
        <x:v>0</x:v>
      </x:c>
      <x:c r="AA42" s="8" t="n">
        <x:f>IF(23='合同排期'!H10,'合同排期'!K10+'合同排期'!L10,0)</x:f>
        <x:v>0</x:v>
      </x:c>
      <x:c r="AB42" s="8" t="n">
        <x:f>IF(24='合同排期'!H10,'合同排期'!K10+'合同排期'!L10,0)</x:f>
        <x:v>0</x:v>
      </x:c>
    </x:row>
    <x:row r="43" ht="23" customHeight="1">
      <x:c r="A43" s="1"/>
      <x:c r="B43" s="1"/>
      <x:c r="C43" s="1" t="str">
        <x:v>P05</x:v>
      </x:c>
      <x:c r="D43" s="1" t="str">
        <x:v>确认收入</x:v>
      </x:c>
      <x:c r="E43" s="8" t="n">
        <x:f>IF(1='合同排期'!I10,'合同排期'!K10,0)+IF(AND(1&gt;='合同排期'!J10,1&lt;'合同排期'!J10+12),'合同排期'!L10/12,0)</x:f>
        <x:v>0</x:v>
      </x:c>
      <x:c r="F43" s="8" t="n">
        <x:f>IF(2='合同排期'!I10,'合同排期'!K10,0)+IF(AND(2&gt;='合同排期'!J10,2&lt;'合同排期'!J10+12),'合同排期'!L10/12,0)</x:f>
        <x:v>0</x:v>
      </x:c>
      <x:c r="G43" s="8" t="n">
        <x:f>IF(3='合同排期'!I10,'合同排期'!K10,0)+IF(AND(3&gt;='合同排期'!J10,3&lt;'合同排期'!J10+12),'合同排期'!L10/12,0)</x:f>
        <x:v>0</x:v>
      </x:c>
      <x:c r="H43" s="8" t="n">
        <x:f>IF(4='合同排期'!I10,'合同排期'!K10,0)+IF(AND(4&gt;='合同排期'!J10,4&lt;'合同排期'!J10+12),'合同排期'!L10/12,0)</x:f>
        <x:v>0</x:v>
      </x:c>
      <x:c r="I43" s="8" t="n">
        <x:f>IF(5='合同排期'!I10,'合同排期'!K10,0)+IF(AND(5&gt;='合同排期'!J10,5&lt;'合同排期'!J10+12),'合同排期'!L10/12,0)</x:f>
        <x:v>0</x:v>
      </x:c>
      <x:c r="J43" s="8" t="n">
        <x:f>IF(6='合同排期'!I10,'合同排期'!K10,0)+IF(AND(6&gt;='合同排期'!J10,6&lt;'合同排期'!J10+12),'合同排期'!L10/12,0)</x:f>
        <x:v>0</x:v>
      </x:c>
      <x:c r="K43" s="8" t="n">
        <x:f>IF(7='合同排期'!I10,'合同排期'!K10,0)+IF(AND(7&gt;='合同排期'!J10,7&lt;'合同排期'!J10+12),'合同排期'!L10/12,0)</x:f>
        <x:v>0</x:v>
      </x:c>
      <x:c r="L43" s="8" t="n">
        <x:f>IF(8='合同排期'!I10,'合同排期'!K10,0)+IF(AND(8&gt;='合同排期'!J10,8&lt;'合同排期'!J10+12),'合同排期'!L10/12,0)</x:f>
        <x:v>8</x:v>
      </x:c>
      <x:c r="M43" s="8" t="n">
        <x:f>IF(9='合同排期'!I10,'合同排期'!K10,0)+IF(AND(9&gt;='合同排期'!J10,9&lt;'合同排期'!J10+12),'合同排期'!L10/12,0)</x:f>
        <x:v>0</x:v>
      </x:c>
      <x:c r="N43" s="8" t="n">
        <x:f>IF(10='合同排期'!I10,'合同排期'!K10,0)+IF(AND(10&gt;='合同排期'!J10,10&lt;'合同排期'!J10+12),'合同排期'!L10/12,0)</x:f>
        <x:v>0</x:v>
      </x:c>
      <x:c r="O43" s="8" t="n">
        <x:f>IF(11='合同排期'!I10,'合同排期'!K10,0)+IF(AND(11&gt;='合同排期'!J10,11&lt;'合同排期'!J10+12),'合同排期'!L10/12,0)</x:f>
        <x:v>0</x:v>
      </x:c>
      <x:c r="P43" s="8" t="n">
        <x:f>IF(12='合同排期'!I10,'合同排期'!K10,0)+IF(AND(12&gt;='合同排期'!J10,12&lt;'合同排期'!J10+12),'合同排期'!L10/12,0)</x:f>
        <x:v>0</x:v>
      </x:c>
      <x:c r="Q43" s="8" t="n">
        <x:f>IF(13='合同排期'!I10,'合同排期'!K10,0)+IF(AND(13&gt;='合同排期'!J10,13&lt;'合同排期'!J10+12),'合同排期'!L10/12,0)</x:f>
        <x:v>0</x:v>
      </x:c>
      <x:c r="R43" s="8" t="n">
        <x:f>IF(14='合同排期'!I10,'合同排期'!K10,0)+IF(AND(14&gt;='合同排期'!J10,14&lt;'合同排期'!J10+12),'合同排期'!L10/12,0)</x:f>
        <x:v>0</x:v>
      </x:c>
      <x:c r="S43" s="8" t="n">
        <x:f>IF(15='合同排期'!I10,'合同排期'!K10,0)+IF(AND(15&gt;='合同排期'!J10,15&lt;'合同排期'!J10+12),'合同排期'!L10/12,0)</x:f>
        <x:v>0</x:v>
      </x:c>
      <x:c r="T43" s="8" t="n">
        <x:f>IF(16='合同排期'!I10,'合同排期'!K10,0)+IF(AND(16&gt;='合同排期'!J10,16&lt;'合同排期'!J10+12),'合同排期'!L10/12,0)</x:f>
        <x:v>0</x:v>
      </x:c>
      <x:c r="U43" s="8" t="n">
        <x:f>IF(17='合同排期'!I10,'合同排期'!K10,0)+IF(AND(17&gt;='合同排期'!J10,17&lt;'合同排期'!J10+12),'合同排期'!L10/12,0)</x:f>
        <x:v>0</x:v>
      </x:c>
      <x:c r="V43" s="8" t="n">
        <x:f>IF(18='合同排期'!I10,'合同排期'!K10,0)+IF(AND(18&gt;='合同排期'!J10,18&lt;'合同排期'!J10+12),'合同排期'!L10/12,0)</x:f>
        <x:v>0</x:v>
      </x:c>
      <x:c r="W43" s="8" t="n">
        <x:f>IF(19='合同排期'!I10,'合同排期'!K10,0)+IF(AND(19&gt;='合同排期'!J10,19&lt;'合同排期'!J10+12),'合同排期'!L10/12,0)</x:f>
        <x:v>0</x:v>
      </x:c>
      <x:c r="X43" s="8" t="n">
        <x:f>IF(20='合同排期'!I10,'合同排期'!K10,0)+IF(AND(20&gt;='合同排期'!J10,20&lt;'合同排期'!J10+12),'合同排期'!L10/12,0)</x:f>
        <x:v>0</x:v>
      </x:c>
      <x:c r="Y43" s="8" t="n">
        <x:f>IF(21='合同排期'!I10,'合同排期'!K10,0)+IF(AND(21&gt;='合同排期'!J10,21&lt;'合同排期'!J10+12),'合同排期'!L10/12,0)</x:f>
        <x:v>0</x:v>
      </x:c>
      <x:c r="Z43" s="8" t="n">
        <x:f>IF(22='合同排期'!I10,'合同排期'!K10,0)+IF(AND(22&gt;='合同排期'!J10,22&lt;'合同排期'!J10+12),'合同排期'!L10/12,0)</x:f>
        <x:v>0</x:v>
      </x:c>
      <x:c r="AA43" s="8" t="n">
        <x:f>IF(23='合同排期'!I10,'合同排期'!K10,0)+IF(AND(23&gt;='合同排期'!J10,23&lt;'合同排期'!J10+12),'合同排期'!L10/12,0)</x:f>
        <x:v>0</x:v>
      </x:c>
      <x:c r="AB43" s="8" t="n">
        <x:f>IF(24='合同排期'!I10,'合同排期'!K10,0)+IF(AND(24&gt;='合同排期'!J10,24&lt;'合同排期'!J10+12),'合同排期'!L10/12,0)</x:f>
        <x:v>0</x:v>
      </x:c>
    </x:row>
    <x:row r="44" ht="23" customHeight="1">
      <x:c r="A44" s="1"/>
      <x:c r="B44" s="1"/>
      <x:c r="C44" s="1" t="str">
        <x:v>P05</x:v>
      </x:c>
      <x:c r="D44" s="1" t="str">
        <x:v>开票</x:v>
      </x:c>
      <x:c r="E44" s="8" t="n">
        <x:f>IF(1='合同排期'!H10,'合同排期'!K10*'合同排期'!P10,0)+IF(1='合同排期'!S10,'合同排期'!K10*'合同排期'!Q10,0)+IF(1='合同排期'!I10,'合同排期'!K10*'合同排期'!R10,0)+IF(1='合同排期'!J10,'合同排期'!L10,0)</x:f>
        <x:v>0</x:v>
      </x:c>
      <x:c r="F44" s="8" t="n">
        <x:f>IF(2='合同排期'!H10,'合同排期'!K10*'合同排期'!P10,0)+IF(2='合同排期'!S10,'合同排期'!K10*'合同排期'!Q10,0)+IF(2='合同排期'!I10,'合同排期'!K10*'合同排期'!R10,0)+IF(2='合同排期'!J10,'合同排期'!L10,0)</x:f>
        <x:v>0</x:v>
      </x:c>
      <x:c r="G44" s="8" t="n">
        <x:f>IF(3='合同排期'!H10,'合同排期'!K10*'合同排期'!P10,0)+IF(3='合同排期'!S10,'合同排期'!K10*'合同排期'!Q10,0)+IF(3='合同排期'!I10,'合同排期'!K10*'合同排期'!R10,0)+IF(3='合同排期'!J10,'合同排期'!L10,0)</x:f>
        <x:v>0</x:v>
      </x:c>
      <x:c r="H44" s="8" t="n">
        <x:f>IF(4='合同排期'!H10,'合同排期'!K10*'合同排期'!P10,0)+IF(4='合同排期'!S10,'合同排期'!K10*'合同排期'!Q10,0)+IF(4='合同排期'!I10,'合同排期'!K10*'合同排期'!R10,0)+IF(4='合同排期'!J10,'合同排期'!L10,0)</x:f>
        <x:v>0</x:v>
      </x:c>
      <x:c r="I44" s="8" t="n">
        <x:f>IF(5='合同排期'!H10,'合同排期'!K10*'合同排期'!P10,0)+IF(5='合同排期'!S10,'合同排期'!K10*'合同排期'!Q10,0)+IF(5='合同排期'!I10,'合同排期'!K10*'合同排期'!R10,0)+IF(5='合同排期'!J10,'合同排期'!L10,0)</x:f>
        <x:v>0</x:v>
      </x:c>
      <x:c r="J44" s="8" t="n">
        <x:f>IF(6='合同排期'!H10,'合同排期'!K10*'合同排期'!P10,0)+IF(6='合同排期'!S10,'合同排期'!K10*'合同排期'!Q10,0)+IF(6='合同排期'!I10,'合同排期'!K10*'合同排期'!R10,0)+IF(6='合同排期'!J10,'合同排期'!L10,0)</x:f>
        <x:v>0</x:v>
      </x:c>
      <x:c r="K44" s="8" t="n">
        <x:f>IF(7='合同排期'!H10,'合同排期'!K10*'合同排期'!P10,0)+IF(7='合同排期'!S10,'合同排期'!K10*'合同排期'!Q10,0)+IF(7='合同排期'!I10,'合同排期'!K10*'合同排期'!R10,0)+IF(7='合同排期'!J10,'合同排期'!L10,0)</x:f>
        <x:v>2.4</x:v>
      </x:c>
      <x:c r="L44" s="8" t="n">
        <x:f>IF(8='合同排期'!H10,'合同排期'!K10*'合同排期'!P10,0)+IF(8='合同排期'!S10,'合同排期'!K10*'合同排期'!Q10,0)+IF(8='合同排期'!I10,'合同排期'!K10*'合同排期'!R10,0)+IF(8='合同排期'!J10,'合同排期'!L10,0)</x:f>
        <x:v>5.6</x:v>
      </x:c>
      <x:c r="M44" s="8" t="n">
        <x:f>IF(9='合同排期'!H10,'合同排期'!K10*'合同排期'!P10,0)+IF(9='合同排期'!S10,'合同排期'!K10*'合同排期'!Q10,0)+IF(9='合同排期'!I10,'合同排期'!K10*'合同排期'!R10,0)+IF(9='合同排期'!J10,'合同排期'!L10,0)</x:f>
        <x:v>0</x:v>
      </x:c>
      <x:c r="N44" s="8" t="n">
        <x:f>IF(10='合同排期'!H10,'合同排期'!K10*'合同排期'!P10,0)+IF(10='合同排期'!S10,'合同排期'!K10*'合同排期'!Q10,0)+IF(10='合同排期'!I10,'合同排期'!K10*'合同排期'!R10,0)+IF(10='合同排期'!J10,'合同排期'!L10,0)</x:f>
        <x:v>0</x:v>
      </x:c>
      <x:c r="O44" s="8" t="n">
        <x:f>IF(11='合同排期'!H10,'合同排期'!K10*'合同排期'!P10,0)+IF(11='合同排期'!S10,'合同排期'!K10*'合同排期'!Q10,0)+IF(11='合同排期'!I10,'合同排期'!K10*'合同排期'!R10,0)+IF(11='合同排期'!J10,'合同排期'!L10,0)</x:f>
        <x:v>0</x:v>
      </x:c>
      <x:c r="P44" s="8" t="n">
        <x:f>IF(12='合同排期'!H10,'合同排期'!K10*'合同排期'!P10,0)+IF(12='合同排期'!S10,'合同排期'!K10*'合同排期'!Q10,0)+IF(12='合同排期'!I10,'合同排期'!K10*'合同排期'!R10,0)+IF(12='合同排期'!J10,'合同排期'!L10,0)</x:f>
        <x:v>0</x:v>
      </x:c>
      <x:c r="Q44" s="8" t="n">
        <x:f>IF(13='合同排期'!H10,'合同排期'!K10*'合同排期'!P10,0)+IF(13='合同排期'!S10,'合同排期'!K10*'合同排期'!Q10,0)+IF(13='合同排期'!I10,'合同排期'!K10*'合同排期'!R10,0)+IF(13='合同排期'!J10,'合同排期'!L10,0)</x:f>
        <x:v>0</x:v>
      </x:c>
      <x:c r="R44" s="8" t="n">
        <x:f>IF(14='合同排期'!H10,'合同排期'!K10*'合同排期'!P10,0)+IF(14='合同排期'!S10,'合同排期'!K10*'合同排期'!Q10,0)+IF(14='合同排期'!I10,'合同排期'!K10*'合同排期'!R10,0)+IF(14='合同排期'!J10,'合同排期'!L10,0)</x:f>
        <x:v>0</x:v>
      </x:c>
      <x:c r="S44" s="8" t="n">
        <x:f>IF(15='合同排期'!H10,'合同排期'!K10*'合同排期'!P10,0)+IF(15='合同排期'!S10,'合同排期'!K10*'合同排期'!Q10,0)+IF(15='合同排期'!I10,'合同排期'!K10*'合同排期'!R10,0)+IF(15='合同排期'!J10,'合同排期'!L10,0)</x:f>
        <x:v>0</x:v>
      </x:c>
      <x:c r="T44" s="8" t="n">
        <x:f>IF(16='合同排期'!H10,'合同排期'!K10*'合同排期'!P10,0)+IF(16='合同排期'!S10,'合同排期'!K10*'合同排期'!Q10,0)+IF(16='合同排期'!I10,'合同排期'!K10*'合同排期'!R10,0)+IF(16='合同排期'!J10,'合同排期'!L10,0)</x:f>
        <x:v>0</x:v>
      </x:c>
      <x:c r="U44" s="8" t="n">
        <x:f>IF(17='合同排期'!H10,'合同排期'!K10*'合同排期'!P10,0)+IF(17='合同排期'!S10,'合同排期'!K10*'合同排期'!Q10,0)+IF(17='合同排期'!I10,'合同排期'!K10*'合同排期'!R10,0)+IF(17='合同排期'!J10,'合同排期'!L10,0)</x:f>
        <x:v>0</x:v>
      </x:c>
      <x:c r="V44" s="8" t="n">
        <x:f>IF(18='合同排期'!H10,'合同排期'!K10*'合同排期'!P10,0)+IF(18='合同排期'!S10,'合同排期'!K10*'合同排期'!Q10,0)+IF(18='合同排期'!I10,'合同排期'!K10*'合同排期'!R10,0)+IF(18='合同排期'!J10,'合同排期'!L10,0)</x:f>
        <x:v>0</x:v>
      </x:c>
      <x:c r="W44" s="8" t="n">
        <x:f>IF(19='合同排期'!H10,'合同排期'!K10*'合同排期'!P10,0)+IF(19='合同排期'!S10,'合同排期'!K10*'合同排期'!Q10,0)+IF(19='合同排期'!I10,'合同排期'!K10*'合同排期'!R10,0)+IF(19='合同排期'!J10,'合同排期'!L10,0)</x:f>
        <x:v>0</x:v>
      </x:c>
      <x:c r="X44" s="8" t="n">
        <x:f>IF(20='合同排期'!H10,'合同排期'!K10*'合同排期'!P10,0)+IF(20='合同排期'!S10,'合同排期'!K10*'合同排期'!Q10,0)+IF(20='合同排期'!I10,'合同排期'!K10*'合同排期'!R10,0)+IF(20='合同排期'!J10,'合同排期'!L10,0)</x:f>
        <x:v>0</x:v>
      </x:c>
      <x:c r="Y44" s="8" t="n">
        <x:f>IF(21='合同排期'!H10,'合同排期'!K10*'合同排期'!P10,0)+IF(21='合同排期'!S10,'合同排期'!K10*'合同排期'!Q10,0)+IF(21='合同排期'!I10,'合同排期'!K10*'合同排期'!R10,0)+IF(21='合同排期'!J10,'合同排期'!L10,0)</x:f>
        <x:v>0</x:v>
      </x:c>
      <x:c r="Z44" s="8" t="n">
        <x:f>IF(22='合同排期'!H10,'合同排期'!K10*'合同排期'!P10,0)+IF(22='合同排期'!S10,'合同排期'!K10*'合同排期'!Q10,0)+IF(22='合同排期'!I10,'合同排期'!K10*'合同排期'!R10,0)+IF(22='合同排期'!J10,'合同排期'!L10,0)</x:f>
        <x:v>0</x:v>
      </x:c>
      <x:c r="AA44" s="8" t="n">
        <x:f>IF(23='合同排期'!H10,'合同排期'!K10*'合同排期'!P10,0)+IF(23='合同排期'!S10,'合同排期'!K10*'合同排期'!Q10,0)+IF(23='合同排期'!I10,'合同排期'!K10*'合同排期'!R10,0)+IF(23='合同排期'!J10,'合同排期'!L10,0)</x:f>
        <x:v>0</x:v>
      </x:c>
      <x:c r="AB44" s="8" t="n">
        <x:f>IF(24='合同排期'!H10,'合同排期'!K10*'合同排期'!P10,0)+IF(24='合同排期'!S10,'合同排期'!K10*'合同排期'!Q10,0)+IF(24='合同排期'!I10,'合同排期'!K10*'合同排期'!R10,0)+IF(24='合同排期'!J10,'合同排期'!L10,0)</x:f>
        <x:v>0</x:v>
      </x:c>
    </x:row>
    <x:row r="45" ht="23" customHeight="1">
      <x:c r="A45" s="1"/>
      <x:c r="B45" s="1"/>
      <x:c r="C45" s="1" t="str">
        <x:v>P05</x:v>
      </x:c>
      <x:c r="D45" s="1" t="str">
        <x:v>回款</x:v>
      </x:c>
      <x:c r="E45" s="8" t="n">
        <x:f>IF(1&gt;'假设'!D27,INDEX($E44:$AB44,1,1-'假设'!D27),0)</x:f>
        <x:v>0</x:v>
      </x:c>
      <x:c r="F45" s="8" t="n">
        <x:f>IF(2&gt;'假设'!D27,INDEX($E44:$AB44,1,2-'假设'!D27),0)</x:f>
        <x:v>0</x:v>
      </x:c>
      <x:c r="G45" s="8" t="n">
        <x:f>IF(3&gt;'假设'!D27,INDEX($E44:$AB44,1,3-'假设'!D27),0)</x:f>
        <x:v>0</x:v>
      </x:c>
      <x:c r="H45" s="8" t="n">
        <x:f>IF(4&gt;'假设'!D27,INDEX($E44:$AB44,1,4-'假设'!D27),0)</x:f>
        <x:v>0</x:v>
      </x:c>
      <x:c r="I45" s="8" t="n">
        <x:f>IF(5&gt;'假设'!D27,INDEX($E44:$AB44,1,5-'假设'!D27),0)</x:f>
        <x:v>0</x:v>
      </x:c>
      <x:c r="J45" s="8" t="n">
        <x:f>IF(6&gt;'假设'!D27,INDEX($E44:$AB44,1,6-'假设'!D27),0)</x:f>
        <x:v>0</x:v>
      </x:c>
      <x:c r="K45" s="8" t="n">
        <x:f>IF(7&gt;'假设'!D27,INDEX($E44:$AB44,1,7-'假设'!D27),0)</x:f>
        <x:v>0</x:v>
      </x:c>
      <x:c r="L45" s="8" t="n">
        <x:f>IF(8&gt;'假设'!D27,INDEX($E44:$AB44,1,8-'假设'!D27),0)</x:f>
        <x:v>2.4</x:v>
      </x:c>
      <x:c r="M45" s="8" t="n">
        <x:f>IF(9&gt;'假设'!D27,INDEX($E44:$AB44,1,9-'假设'!D27),0)</x:f>
        <x:v>5.6</x:v>
      </x:c>
      <x:c r="N45" s="8" t="n">
        <x:f>IF(10&gt;'假设'!D27,INDEX($E44:$AB44,1,10-'假设'!D27),0)</x:f>
        <x:v>0</x:v>
      </x:c>
      <x:c r="O45" s="8" t="n">
        <x:f>IF(11&gt;'假设'!D27,INDEX($E44:$AB44,1,11-'假设'!D27),0)</x:f>
        <x:v>0</x:v>
      </x:c>
      <x:c r="P45" s="8" t="n">
        <x:f>IF(12&gt;'假设'!D27,INDEX($E44:$AB44,1,12-'假设'!D27),0)</x:f>
        <x:v>0</x:v>
      </x:c>
      <x:c r="Q45" s="8" t="n">
        <x:f>IF(13&gt;'假设'!D27,INDEX($E44:$AB44,1,13-'假设'!D27),0)</x:f>
        <x:v>0</x:v>
      </x:c>
      <x:c r="R45" s="8" t="n">
        <x:f>IF(14&gt;'假设'!D27,INDEX($E44:$AB44,1,14-'假设'!D27),0)</x:f>
        <x:v>0</x:v>
      </x:c>
      <x:c r="S45" s="8" t="n">
        <x:f>IF(15&gt;'假设'!D27,INDEX($E44:$AB44,1,15-'假设'!D27),0)</x:f>
        <x:v>0</x:v>
      </x:c>
      <x:c r="T45" s="8" t="n">
        <x:f>IF(16&gt;'假设'!D27,INDEX($E44:$AB44,1,16-'假设'!D27),0)</x:f>
        <x:v>0</x:v>
      </x:c>
      <x:c r="U45" s="8" t="n">
        <x:f>IF(17&gt;'假设'!D27,INDEX($E44:$AB44,1,17-'假设'!D27),0)</x:f>
        <x:v>0</x:v>
      </x:c>
      <x:c r="V45" s="8" t="n">
        <x:f>IF(18&gt;'假设'!D27,INDEX($E44:$AB44,1,18-'假设'!D27),0)</x:f>
        <x:v>0</x:v>
      </x:c>
      <x:c r="W45" s="8" t="n">
        <x:f>IF(19&gt;'假设'!D27,INDEX($E44:$AB44,1,19-'假设'!D27),0)</x:f>
        <x:v>0</x:v>
      </x:c>
      <x:c r="X45" s="8" t="n">
        <x:f>IF(20&gt;'假设'!D27,INDEX($E44:$AB44,1,20-'假设'!D27),0)</x:f>
        <x:v>0</x:v>
      </x:c>
      <x:c r="Y45" s="8" t="n">
        <x:f>IF(21&gt;'假设'!D27,INDEX($E44:$AB44,1,21-'假设'!D27),0)</x:f>
        <x:v>0</x:v>
      </x:c>
      <x:c r="Z45" s="8" t="n">
        <x:f>IF(22&gt;'假设'!D27,INDEX($E44:$AB44,1,22-'假设'!D27),0)</x:f>
        <x:v>0</x:v>
      </x:c>
      <x:c r="AA45" s="8" t="n">
        <x:f>IF(23&gt;'假设'!D27,INDEX($E44:$AB44,1,23-'假设'!D27),0)</x:f>
        <x:v>0</x:v>
      </x:c>
      <x:c r="AB45" s="8" t="n">
        <x:f>IF(24&gt;'假设'!D27,INDEX($E44:$AB44,1,24-'假设'!D27),0)</x:f>
        <x:v>0</x:v>
      </x:c>
    </x:row>
    <x:row r="46" ht="23" customHeight="1">
      <x:c r="A46" s="1"/>
      <x:c r="B46" s="1"/>
      <x:c r="C46" s="1" t="str">
        <x:v>P05</x:v>
      </x:c>
      <x:c r="D46" s="1" t="str">
        <x:v>直接损益成本</x:v>
      </x:c>
      <x:c r="E46" s="8" t="n">
        <x:f>IF(1='合同排期'!I10,'合同排期'!N10,0)+IF(AND(1&gt;='合同排期'!J10,1&lt;'合同排期'!J10+12),'合同排期'!O10,0)+E42*'假设'!D47</x:f>
        <x:v>0</x:v>
      </x:c>
      <x:c r="F46" s="8" t="n">
        <x:f>IF(2='合同排期'!I10,'合同排期'!N10,0)+IF(AND(2&gt;='合同排期'!J10,2&lt;'合同排期'!J10+12),'合同排期'!O10,0)+F42*'假设'!D47</x:f>
        <x:v>0</x:v>
      </x:c>
      <x:c r="G46" s="8" t="n">
        <x:f>IF(3='合同排期'!I10,'合同排期'!N10,0)+IF(AND(3&gt;='合同排期'!J10,3&lt;'合同排期'!J10+12),'合同排期'!O10,0)+G42*'假设'!D47</x:f>
        <x:v>0</x:v>
      </x:c>
      <x:c r="H46" s="8" t="n">
        <x:f>IF(4='合同排期'!I10,'合同排期'!N10,0)+IF(AND(4&gt;='合同排期'!J10,4&lt;'合同排期'!J10+12),'合同排期'!O10,0)+H42*'假设'!D47</x:f>
        <x:v>0</x:v>
      </x:c>
      <x:c r="I46" s="8" t="n">
        <x:f>IF(5='合同排期'!I10,'合同排期'!N10,0)+IF(AND(5&gt;='合同排期'!J10,5&lt;'合同排期'!J10+12),'合同排期'!O10,0)+I42*'假设'!D47</x:f>
        <x:v>0</x:v>
      </x:c>
      <x:c r="J46" s="8" t="n">
        <x:f>IF(6='合同排期'!I10,'合同排期'!N10,0)+IF(AND(6&gt;='合同排期'!J10,6&lt;'合同排期'!J10+12),'合同排期'!O10,0)+J42*'假设'!D47</x:f>
        <x:v>0</x:v>
      </x:c>
      <x:c r="K46" s="8" t="n">
        <x:f>IF(7='合同排期'!I10,'合同排期'!N10,0)+IF(AND(7&gt;='合同排期'!J10,7&lt;'合同排期'!J10+12),'合同排期'!O10,0)+K42*'假设'!D47</x:f>
        <x:v>0.4</x:v>
      </x:c>
      <x:c r="L46" s="8" t="n">
        <x:f>IF(8='合同排期'!I10,'合同排期'!N10,0)+IF(AND(8&gt;='合同排期'!J10,8&lt;'合同排期'!J10+12),'合同排期'!O10,0)+L42*'假设'!D47</x:f>
        <x:v>3.7</x:v>
      </x:c>
      <x:c r="M46" s="8" t="n">
        <x:f>IF(9='合同排期'!I10,'合同排期'!N10,0)+IF(AND(9&gt;='合同排期'!J10,9&lt;'合同排期'!J10+12),'合同排期'!O10,0)+M42*'假设'!D47</x:f>
        <x:v>0</x:v>
      </x:c>
      <x:c r="N46" s="8" t="n">
        <x:f>IF(10='合同排期'!I10,'合同排期'!N10,0)+IF(AND(10&gt;='合同排期'!J10,10&lt;'合同排期'!J10+12),'合同排期'!O10,0)+N42*'假设'!D47</x:f>
        <x:v>0</x:v>
      </x:c>
      <x:c r="O46" s="8" t="n">
        <x:f>IF(11='合同排期'!I10,'合同排期'!N10,0)+IF(AND(11&gt;='合同排期'!J10,11&lt;'合同排期'!J10+12),'合同排期'!O10,0)+O42*'假设'!D47</x:f>
        <x:v>0</x:v>
      </x:c>
      <x:c r="P46" s="8" t="n">
        <x:f>IF(12='合同排期'!I10,'合同排期'!N10,0)+IF(AND(12&gt;='合同排期'!J10,12&lt;'合同排期'!J10+12),'合同排期'!O10,0)+P42*'假设'!D47</x:f>
        <x:v>0</x:v>
      </x:c>
      <x:c r="Q46" s="8" t="n">
        <x:f>IF(13='合同排期'!I10,'合同排期'!N10,0)+IF(AND(13&gt;='合同排期'!J10,13&lt;'合同排期'!J10+12),'合同排期'!O10,0)+Q42*'假设'!D47</x:f>
        <x:v>0</x:v>
      </x:c>
      <x:c r="R46" s="8" t="n">
        <x:f>IF(14='合同排期'!I10,'合同排期'!N10,0)+IF(AND(14&gt;='合同排期'!J10,14&lt;'合同排期'!J10+12),'合同排期'!O10,0)+R42*'假设'!D47</x:f>
        <x:v>0</x:v>
      </x:c>
      <x:c r="S46" s="8" t="n">
        <x:f>IF(15='合同排期'!I10,'合同排期'!N10,0)+IF(AND(15&gt;='合同排期'!J10,15&lt;'合同排期'!J10+12),'合同排期'!O10,0)+S42*'假设'!D47</x:f>
        <x:v>0</x:v>
      </x:c>
      <x:c r="T46" s="8" t="n">
        <x:f>IF(16='合同排期'!I10,'合同排期'!N10,0)+IF(AND(16&gt;='合同排期'!J10,16&lt;'合同排期'!J10+12),'合同排期'!O10,0)+T42*'假设'!D47</x:f>
        <x:v>0</x:v>
      </x:c>
      <x:c r="U46" s="8" t="n">
        <x:f>IF(17='合同排期'!I10,'合同排期'!N10,0)+IF(AND(17&gt;='合同排期'!J10,17&lt;'合同排期'!J10+12),'合同排期'!O10,0)+U42*'假设'!D47</x:f>
        <x:v>0</x:v>
      </x:c>
      <x:c r="V46" s="8" t="n">
        <x:f>IF(18='合同排期'!I10,'合同排期'!N10,0)+IF(AND(18&gt;='合同排期'!J10,18&lt;'合同排期'!J10+12),'合同排期'!O10,0)+V42*'假设'!D47</x:f>
        <x:v>0</x:v>
      </x:c>
      <x:c r="W46" s="8" t="n">
        <x:f>IF(19='合同排期'!I10,'合同排期'!N10,0)+IF(AND(19&gt;='合同排期'!J10,19&lt;'合同排期'!J10+12),'合同排期'!O10,0)+W42*'假设'!D47</x:f>
        <x:v>0</x:v>
      </x:c>
      <x:c r="X46" s="8" t="n">
        <x:f>IF(20='合同排期'!I10,'合同排期'!N10,0)+IF(AND(20&gt;='合同排期'!J10,20&lt;'合同排期'!J10+12),'合同排期'!O10,0)+X42*'假设'!D47</x:f>
        <x:v>0</x:v>
      </x:c>
      <x:c r="Y46" s="8" t="n">
        <x:f>IF(21='合同排期'!I10,'合同排期'!N10,0)+IF(AND(21&gt;='合同排期'!J10,21&lt;'合同排期'!J10+12),'合同排期'!O10,0)+Y42*'假设'!D47</x:f>
        <x:v>0</x:v>
      </x:c>
      <x:c r="Z46" s="8" t="n">
        <x:f>IF(22='合同排期'!I10,'合同排期'!N10,0)+IF(AND(22&gt;='合同排期'!J10,22&lt;'合同排期'!J10+12),'合同排期'!O10,0)+Z42*'假设'!D47</x:f>
        <x:v>0</x:v>
      </x:c>
      <x:c r="AA46" s="8" t="n">
        <x:f>IF(23='合同排期'!I10,'合同排期'!N10,0)+IF(AND(23&gt;='合同排期'!J10,23&lt;'合同排期'!J10+12),'合同排期'!O10,0)+AA42*'假设'!D47</x:f>
        <x:v>0</x:v>
      </x:c>
      <x:c r="AB46" s="8" t="n">
        <x:f>IF(24='合同排期'!I10,'合同排期'!N10,0)+IF(AND(24&gt;='合同排期'!J10,24&lt;'合同排期'!J10+12),'合同排期'!O10,0)+AB42*'假设'!D47</x:f>
        <x:v>0</x:v>
      </x:c>
    </x:row>
    <x:row r="47" ht="23" customHeight="1">
      <x:c r="A47" s="1"/>
      <x:c r="B47" s="1"/>
      <x:c r="C47" s="1" t="str">
        <x:v>P05</x:v>
      </x:c>
      <x:c r="D47" s="1" t="str">
        <x:v>直接现金成本</x:v>
      </x:c>
      <x:c r="E47" s="8" t="n">
        <x:f>IF(AND(1&gt;='合同排期'!H10,1&lt;='合同排期'!I10),'合同排期'!N10/('合同排期'!I10-'合同排期'!H10+1),0)+IF(AND(1&gt;='合同排期'!J10,1&lt;'合同排期'!J10+12),'合同排期'!O10,0)+E45*'假设'!D47</x:f>
        <x:v>0</x:v>
      </x:c>
      <x:c r="F47" s="8" t="n">
        <x:f>IF(AND(2&gt;='合同排期'!H10,2&lt;='合同排期'!I10),'合同排期'!N10/('合同排期'!I10-'合同排期'!H10+1),0)+IF(AND(2&gt;='合同排期'!J10,2&lt;'合同排期'!J10+12),'合同排期'!O10,0)+F45*'假设'!D47</x:f>
        <x:v>0</x:v>
      </x:c>
      <x:c r="G47" s="8" t="n">
        <x:f>IF(AND(3&gt;='合同排期'!H10,3&lt;='合同排期'!I10),'合同排期'!N10/('合同排期'!I10-'合同排期'!H10+1),0)+IF(AND(3&gt;='合同排期'!J10,3&lt;'合同排期'!J10+12),'合同排期'!O10,0)+G45*'假设'!D47</x:f>
        <x:v>0</x:v>
      </x:c>
      <x:c r="H47" s="8" t="n">
        <x:f>IF(AND(4&gt;='合同排期'!H10,4&lt;='合同排期'!I10),'合同排期'!N10/('合同排期'!I10-'合同排期'!H10+1),0)+IF(AND(4&gt;='合同排期'!J10,4&lt;'合同排期'!J10+12),'合同排期'!O10,0)+H45*'假设'!D47</x:f>
        <x:v>0</x:v>
      </x:c>
      <x:c r="I47" s="8" t="n">
        <x:f>IF(AND(5&gt;='合同排期'!H10,5&lt;='合同排期'!I10),'合同排期'!N10/('合同排期'!I10-'合同排期'!H10+1),0)+IF(AND(5&gt;='合同排期'!J10,5&lt;'合同排期'!J10+12),'合同排期'!O10,0)+I45*'假设'!D47</x:f>
        <x:v>0</x:v>
      </x:c>
      <x:c r="J47" s="8" t="n">
        <x:f>IF(AND(6&gt;='合同排期'!H10,6&lt;='合同排期'!I10),'合同排期'!N10/('合同排期'!I10-'合同排期'!H10+1),0)+IF(AND(6&gt;='合同排期'!J10,6&lt;'合同排期'!J10+12),'合同排期'!O10,0)+J45*'假设'!D47</x:f>
        <x:v>0</x:v>
      </x:c>
      <x:c r="K47" s="8" t="n">
        <x:f>IF(AND(7&gt;='合同排期'!H10,7&lt;='合同排期'!I10),'合同排期'!N10/('合同排期'!I10-'合同排期'!H10+1),0)+IF(AND(7&gt;='合同排期'!J10,7&lt;'合同排期'!J10+12),'合同排期'!O10,0)+K45*'假设'!D47</x:f>
        <x:v>1.85</x:v>
      </x:c>
      <x:c r="L47" s="8" t="n">
        <x:f>IF(AND(8&gt;='合同排期'!H10,8&lt;='合同排期'!I10),'合同排期'!N10/('合同排期'!I10-'合同排期'!H10+1),0)+IF(AND(8&gt;='合同排期'!J10,8&lt;'合同排期'!J10+12),'合同排期'!O10,0)+L45*'假设'!D47</x:f>
        <x:v>1.9700000000000002</x:v>
      </x:c>
      <x:c r="M47" s="8" t="n">
        <x:f>IF(AND(9&gt;='合同排期'!H10,9&lt;='合同排期'!I10),'合同排期'!N10/('合同排期'!I10-'合同排期'!H10+1),0)+IF(AND(9&gt;='合同排期'!J10,9&lt;'合同排期'!J10+12),'合同排期'!O10,0)+M45*'假设'!D47</x:f>
        <x:v>0.27999999999999997</x:v>
      </x:c>
      <x:c r="N47" s="8" t="n">
        <x:f>IF(AND(10&gt;='合同排期'!H10,10&lt;='合同排期'!I10),'合同排期'!N10/('合同排期'!I10-'合同排期'!H10+1),0)+IF(AND(10&gt;='合同排期'!J10,10&lt;'合同排期'!J10+12),'合同排期'!O10,0)+N45*'假设'!D47</x:f>
        <x:v>0</x:v>
      </x:c>
      <x:c r="O47" s="8" t="n">
        <x:f>IF(AND(11&gt;='合同排期'!H10,11&lt;='合同排期'!I10),'合同排期'!N10/('合同排期'!I10-'合同排期'!H10+1),0)+IF(AND(11&gt;='合同排期'!J10,11&lt;'合同排期'!J10+12),'合同排期'!O10,0)+O45*'假设'!D47</x:f>
        <x:v>0</x:v>
      </x:c>
      <x:c r="P47" s="8" t="n">
        <x:f>IF(AND(12&gt;='合同排期'!H10,12&lt;='合同排期'!I10),'合同排期'!N10/('合同排期'!I10-'合同排期'!H10+1),0)+IF(AND(12&gt;='合同排期'!J10,12&lt;'合同排期'!J10+12),'合同排期'!O10,0)+P45*'假设'!D47</x:f>
        <x:v>0</x:v>
      </x:c>
      <x:c r="Q47" s="8" t="n">
        <x:f>IF(AND(13&gt;='合同排期'!H10,13&lt;='合同排期'!I10),'合同排期'!N10/('合同排期'!I10-'合同排期'!H10+1),0)+IF(AND(13&gt;='合同排期'!J10,13&lt;'合同排期'!J10+12),'合同排期'!O10,0)+Q45*'假设'!D47</x:f>
        <x:v>0</x:v>
      </x:c>
      <x:c r="R47" s="8" t="n">
        <x:f>IF(AND(14&gt;='合同排期'!H10,14&lt;='合同排期'!I10),'合同排期'!N10/('合同排期'!I10-'合同排期'!H10+1),0)+IF(AND(14&gt;='合同排期'!J10,14&lt;'合同排期'!J10+12),'合同排期'!O10,0)+R45*'假设'!D47</x:f>
        <x:v>0</x:v>
      </x:c>
      <x:c r="S47" s="8" t="n">
        <x:f>IF(AND(15&gt;='合同排期'!H10,15&lt;='合同排期'!I10),'合同排期'!N10/('合同排期'!I10-'合同排期'!H10+1),0)+IF(AND(15&gt;='合同排期'!J10,15&lt;'合同排期'!J10+12),'合同排期'!O10,0)+S45*'假设'!D47</x:f>
        <x:v>0</x:v>
      </x:c>
      <x:c r="T47" s="8" t="n">
        <x:f>IF(AND(16&gt;='合同排期'!H10,16&lt;='合同排期'!I10),'合同排期'!N10/('合同排期'!I10-'合同排期'!H10+1),0)+IF(AND(16&gt;='合同排期'!J10,16&lt;'合同排期'!J10+12),'合同排期'!O10,0)+T45*'假设'!D47</x:f>
        <x:v>0</x:v>
      </x:c>
      <x:c r="U47" s="8" t="n">
        <x:f>IF(AND(17&gt;='合同排期'!H10,17&lt;='合同排期'!I10),'合同排期'!N10/('合同排期'!I10-'合同排期'!H10+1),0)+IF(AND(17&gt;='合同排期'!J10,17&lt;'合同排期'!J10+12),'合同排期'!O10,0)+U45*'假设'!D47</x:f>
        <x:v>0</x:v>
      </x:c>
      <x:c r="V47" s="8" t="n">
        <x:f>IF(AND(18&gt;='合同排期'!H10,18&lt;='合同排期'!I10),'合同排期'!N10/('合同排期'!I10-'合同排期'!H10+1),0)+IF(AND(18&gt;='合同排期'!J10,18&lt;'合同排期'!J10+12),'合同排期'!O10,0)+V45*'假设'!D47</x:f>
        <x:v>0</x:v>
      </x:c>
      <x:c r="W47" s="8" t="n">
        <x:f>IF(AND(19&gt;='合同排期'!H10,19&lt;='合同排期'!I10),'合同排期'!N10/('合同排期'!I10-'合同排期'!H10+1),0)+IF(AND(19&gt;='合同排期'!J10,19&lt;'合同排期'!J10+12),'合同排期'!O10,0)+W45*'假设'!D47</x:f>
        <x:v>0</x:v>
      </x:c>
      <x:c r="X47" s="8" t="n">
        <x:f>IF(AND(20&gt;='合同排期'!H10,20&lt;='合同排期'!I10),'合同排期'!N10/('合同排期'!I10-'合同排期'!H10+1),0)+IF(AND(20&gt;='合同排期'!J10,20&lt;'合同排期'!J10+12),'合同排期'!O10,0)+X45*'假设'!D47</x:f>
        <x:v>0</x:v>
      </x:c>
      <x:c r="Y47" s="8" t="n">
        <x:f>IF(AND(21&gt;='合同排期'!H10,21&lt;='合同排期'!I10),'合同排期'!N10/('合同排期'!I10-'合同排期'!H10+1),0)+IF(AND(21&gt;='合同排期'!J10,21&lt;'合同排期'!J10+12),'合同排期'!O10,0)+Y45*'假设'!D47</x:f>
        <x:v>0</x:v>
      </x:c>
      <x:c r="Z47" s="8" t="n">
        <x:f>IF(AND(22&gt;='合同排期'!H10,22&lt;='合同排期'!I10),'合同排期'!N10/('合同排期'!I10-'合同排期'!H10+1),0)+IF(AND(22&gt;='合同排期'!J10,22&lt;'合同排期'!J10+12),'合同排期'!O10,0)+Z45*'假设'!D47</x:f>
        <x:v>0</x:v>
      </x:c>
      <x:c r="AA47" s="8" t="n">
        <x:f>IF(AND(23&gt;='合同排期'!H10,23&lt;='合同排期'!I10),'合同排期'!N10/('合同排期'!I10-'合同排期'!H10+1),0)+IF(AND(23&gt;='合同排期'!J10,23&lt;'合同排期'!J10+12),'合同排期'!O10,0)+AA45*'假设'!D47</x:f>
        <x:v>0</x:v>
      </x:c>
      <x:c r="AB47" s="8" t="n">
        <x:f>IF(AND(24&gt;='合同排期'!H10,24&lt;='合同排期'!I10),'合同排期'!N10/('合同排期'!I10-'合同排期'!H10+1),0)+IF(AND(24&gt;='合同排期'!J10,24&lt;'合同排期'!J10+12),'合同排期'!O10,0)+AB45*'假设'!D47</x:f>
        <x:v>0</x:v>
      </x:c>
    </x:row>
    <x:row r="48" ht="23" customHeight="1">
      <x:c r="A48" s="1"/>
      <x:c r="B48" s="1"/>
      <x:c r="C48" s="1" t="str">
        <x:v>P05</x:v>
      </x:c>
      <x:c r="D48" s="1" t="str">
        <x:v>工程交付人月</x:v>
      </x:c>
      <x:c r="E48" s="8" t="n">
        <x:f>IF(AND(1&gt;='合同排期'!H10,1&lt;='合同排期'!I10),'合同排期'!M10/('合同排期'!I10-'合同排期'!H10+1),0)</x:f>
        <x:v>0</x:v>
      </x:c>
      <x:c r="F48" s="8" t="n">
        <x:f>IF(AND(2&gt;='合同排期'!H10,2&lt;='合同排期'!I10),'合同排期'!M10/('合同排期'!I10-'合同排期'!H10+1),0)</x:f>
        <x:v>0</x:v>
      </x:c>
      <x:c r="G48" s="8" t="n">
        <x:f>IF(AND(3&gt;='合同排期'!H10,3&lt;='合同排期'!I10),'合同排期'!M10/('合同排期'!I10-'合同排期'!H10+1),0)</x:f>
        <x:v>0</x:v>
      </x:c>
      <x:c r="H48" s="8" t="n">
        <x:f>IF(AND(4&gt;='合同排期'!H10,4&lt;='合同排期'!I10),'合同排期'!M10/('合同排期'!I10-'合同排期'!H10+1),0)</x:f>
        <x:v>0</x:v>
      </x:c>
      <x:c r="I48" s="8" t="n">
        <x:f>IF(AND(5&gt;='合同排期'!H10,5&lt;='合同排期'!I10),'合同排期'!M10/('合同排期'!I10-'合同排期'!H10+1),0)</x:f>
        <x:v>0</x:v>
      </x:c>
      <x:c r="J48" s="8" t="n">
        <x:f>IF(AND(6&gt;='合同排期'!H10,6&lt;='合同排期'!I10),'合同排期'!M10/('合同排期'!I10-'合同排期'!H10+1),0)</x:f>
        <x:v>0</x:v>
      </x:c>
      <x:c r="K48" s="8" t="n">
        <x:f>IF(AND(7&gt;='合同排期'!H10,7&lt;='合同排期'!I10),'合同排期'!M10/('合同排期'!I10-'合同排期'!H10+1),0)</x:f>
        <x:v>1.5</x:v>
      </x:c>
      <x:c r="L48" s="8" t="n">
        <x:f>IF(AND(8&gt;='合同排期'!H10,8&lt;='合同排期'!I10),'合同排期'!M10/('合同排期'!I10-'合同排期'!H10+1),0)</x:f>
        <x:v>1.5</x:v>
      </x:c>
      <x:c r="M48" s="8" t="n">
        <x:f>IF(AND(9&gt;='合同排期'!H10,9&lt;='合同排期'!I10),'合同排期'!M10/('合同排期'!I10-'合同排期'!H10+1),0)</x:f>
        <x:v>0</x:v>
      </x:c>
      <x:c r="N48" s="8" t="n">
        <x:f>IF(AND(10&gt;='合同排期'!H10,10&lt;='合同排期'!I10),'合同排期'!M10/('合同排期'!I10-'合同排期'!H10+1),0)</x:f>
        <x:v>0</x:v>
      </x:c>
      <x:c r="O48" s="8" t="n">
        <x:f>IF(AND(11&gt;='合同排期'!H10,11&lt;='合同排期'!I10),'合同排期'!M10/('合同排期'!I10-'合同排期'!H10+1),0)</x:f>
        <x:v>0</x:v>
      </x:c>
      <x:c r="P48" s="8" t="n">
        <x:f>IF(AND(12&gt;='合同排期'!H10,12&lt;='合同排期'!I10),'合同排期'!M10/('合同排期'!I10-'合同排期'!H10+1),0)</x:f>
        <x:v>0</x:v>
      </x:c>
      <x:c r="Q48" s="8" t="n">
        <x:f>IF(AND(13&gt;='合同排期'!H10,13&lt;='合同排期'!I10),'合同排期'!M10/('合同排期'!I10-'合同排期'!H10+1),0)</x:f>
        <x:v>0</x:v>
      </x:c>
      <x:c r="R48" s="8" t="n">
        <x:f>IF(AND(14&gt;='合同排期'!H10,14&lt;='合同排期'!I10),'合同排期'!M10/('合同排期'!I10-'合同排期'!H10+1),0)</x:f>
        <x:v>0</x:v>
      </x:c>
      <x:c r="S48" s="8" t="n">
        <x:f>IF(AND(15&gt;='合同排期'!H10,15&lt;='合同排期'!I10),'合同排期'!M10/('合同排期'!I10-'合同排期'!H10+1),0)</x:f>
        <x:v>0</x:v>
      </x:c>
      <x:c r="T48" s="8" t="n">
        <x:f>IF(AND(16&gt;='合同排期'!H10,16&lt;='合同排期'!I10),'合同排期'!M10/('合同排期'!I10-'合同排期'!H10+1),0)</x:f>
        <x:v>0</x:v>
      </x:c>
      <x:c r="U48" s="8" t="n">
        <x:f>IF(AND(17&gt;='合同排期'!H10,17&lt;='合同排期'!I10),'合同排期'!M10/('合同排期'!I10-'合同排期'!H10+1),0)</x:f>
        <x:v>0</x:v>
      </x:c>
      <x:c r="V48" s="8" t="n">
        <x:f>IF(AND(18&gt;='合同排期'!H10,18&lt;='合同排期'!I10),'合同排期'!M10/('合同排期'!I10-'合同排期'!H10+1),0)</x:f>
        <x:v>0</x:v>
      </x:c>
      <x:c r="W48" s="8" t="n">
        <x:f>IF(AND(19&gt;='合同排期'!H10,19&lt;='合同排期'!I10),'合同排期'!M10/('合同排期'!I10-'合同排期'!H10+1),0)</x:f>
        <x:v>0</x:v>
      </x:c>
      <x:c r="X48" s="8" t="n">
        <x:f>IF(AND(20&gt;='合同排期'!H10,20&lt;='合同排期'!I10),'合同排期'!M10/('合同排期'!I10-'合同排期'!H10+1),0)</x:f>
        <x:v>0</x:v>
      </x:c>
      <x:c r="Y48" s="8" t="n">
        <x:f>IF(AND(21&gt;='合同排期'!H10,21&lt;='合同排期'!I10),'合同排期'!M10/('合同排期'!I10-'合同排期'!H10+1),0)</x:f>
        <x:v>0</x:v>
      </x:c>
      <x:c r="Z48" s="8" t="n">
        <x:f>IF(AND(22&gt;='合同排期'!H10,22&lt;='合同排期'!I10),'合同排期'!M10/('合同排期'!I10-'合同排期'!H10+1),0)</x:f>
        <x:v>0</x:v>
      </x:c>
      <x:c r="AA48" s="8" t="n">
        <x:f>IF(AND(23&gt;='合同排期'!H10,23&lt;='合同排期'!I10),'合同排期'!M10/('合同排期'!I10-'合同排期'!H10+1),0)</x:f>
        <x:v>0</x:v>
      </x:c>
      <x:c r="AB48" s="8" t="n">
        <x:f>IF(AND(24&gt;='合同排期'!H10,24&lt;='合同排期'!I10),'合同排期'!M10/('合同排期'!I10-'合同排期'!H10+1),0)</x:f>
        <x:v>0</x:v>
      </x:c>
    </x:row>
    <x:row r="49" ht="23" customHeight="1">
      <x:c r="A49" s="1"/>
      <x:c r="B49" s="1"/>
      <x:c r="C49" s="1" t="str">
        <x:v>P05</x:v>
      </x:c>
      <x:c r="D49" s="1" t="str">
        <x:v>生效ARR</x:v>
      </x:c>
      <x:c r="E49" s="8" t="n">
        <x:f>IF(AND(1&gt;='合同排期'!J10,1&lt;'合同排期'!J10+12),'合同排期'!L10,0)</x:f>
        <x:v>0</x:v>
      </x:c>
      <x:c r="F49" s="8" t="n">
        <x:f>IF(AND(2&gt;='合同排期'!J10,2&lt;'合同排期'!J10+12),'合同排期'!L10,0)</x:f>
        <x:v>0</x:v>
      </x:c>
      <x:c r="G49" s="8" t="n">
        <x:f>IF(AND(3&gt;='合同排期'!J10,3&lt;'合同排期'!J10+12),'合同排期'!L10,0)</x:f>
        <x:v>0</x:v>
      </x:c>
      <x:c r="H49" s="8" t="n">
        <x:f>IF(AND(4&gt;='合同排期'!J10,4&lt;'合同排期'!J10+12),'合同排期'!L10,0)</x:f>
        <x:v>0</x:v>
      </x:c>
      <x:c r="I49" s="8" t="n">
        <x:f>IF(AND(5&gt;='合同排期'!J10,5&lt;'合同排期'!J10+12),'合同排期'!L10,0)</x:f>
        <x:v>0</x:v>
      </x:c>
      <x:c r="J49" s="8" t="n">
        <x:f>IF(AND(6&gt;='合同排期'!J10,6&lt;'合同排期'!J10+12),'合同排期'!L10,0)</x:f>
        <x:v>0</x:v>
      </x:c>
      <x:c r="K49" s="8" t="n">
        <x:f>IF(AND(7&gt;='合同排期'!J10,7&lt;'合同排期'!J10+12),'合同排期'!L10,0)</x:f>
        <x:v>0</x:v>
      </x:c>
      <x:c r="L49" s="8" t="n">
        <x:f>IF(AND(8&gt;='合同排期'!J10,8&lt;'合同排期'!J10+12),'合同排期'!L10,0)</x:f>
        <x:v>0</x:v>
      </x:c>
      <x:c r="M49" s="8" t="n">
        <x:f>IF(AND(9&gt;='合同排期'!J10,9&lt;'合同排期'!J10+12),'合同排期'!L10,0)</x:f>
        <x:v>0</x:v>
      </x:c>
      <x:c r="N49" s="8" t="n">
        <x:f>IF(AND(10&gt;='合同排期'!J10,10&lt;'合同排期'!J10+12),'合同排期'!L10,0)</x:f>
        <x:v>0</x:v>
      </x:c>
      <x:c r="O49" s="8" t="n">
        <x:f>IF(AND(11&gt;='合同排期'!J10,11&lt;'合同排期'!J10+12),'合同排期'!L10,0)</x:f>
        <x:v>0</x:v>
      </x:c>
      <x:c r="P49" s="8" t="n">
        <x:f>IF(AND(12&gt;='合同排期'!J10,12&lt;'合同排期'!J10+12),'合同排期'!L10,0)</x:f>
        <x:v>0</x:v>
      </x:c>
      <x:c r="Q49" s="8" t="n">
        <x:f>IF(AND(13&gt;='合同排期'!J10,13&lt;'合同排期'!J10+12),'合同排期'!L10,0)</x:f>
        <x:v>0</x:v>
      </x:c>
      <x:c r="R49" s="8" t="n">
        <x:f>IF(AND(14&gt;='合同排期'!J10,14&lt;'合同排期'!J10+12),'合同排期'!L10,0)</x:f>
        <x:v>0</x:v>
      </x:c>
      <x:c r="S49" s="8" t="n">
        <x:f>IF(AND(15&gt;='合同排期'!J10,15&lt;'合同排期'!J10+12),'合同排期'!L10,0)</x:f>
        <x:v>0</x:v>
      </x:c>
      <x:c r="T49" s="8" t="n">
        <x:f>IF(AND(16&gt;='合同排期'!J10,16&lt;'合同排期'!J10+12),'合同排期'!L10,0)</x:f>
        <x:v>0</x:v>
      </x:c>
      <x:c r="U49" s="8" t="n">
        <x:f>IF(AND(17&gt;='合同排期'!J10,17&lt;'合同排期'!J10+12),'合同排期'!L10,0)</x:f>
        <x:v>0</x:v>
      </x:c>
      <x:c r="V49" s="8" t="n">
        <x:f>IF(AND(18&gt;='合同排期'!J10,18&lt;'合同排期'!J10+12),'合同排期'!L10,0)</x:f>
        <x:v>0</x:v>
      </x:c>
      <x:c r="W49" s="8" t="n">
        <x:f>IF(AND(19&gt;='合同排期'!J10,19&lt;'合同排期'!J10+12),'合同排期'!L10,0)</x:f>
        <x:v>0</x:v>
      </x:c>
      <x:c r="X49" s="8" t="n">
        <x:f>IF(AND(20&gt;='合同排期'!J10,20&lt;'合同排期'!J10+12),'合同排期'!L10,0)</x:f>
        <x:v>0</x:v>
      </x:c>
      <x:c r="Y49" s="8" t="n">
        <x:f>IF(AND(21&gt;='合同排期'!J10,21&lt;'合同排期'!J10+12),'合同排期'!L10,0)</x:f>
        <x:v>0</x:v>
      </x:c>
      <x:c r="Z49" s="8" t="n">
        <x:f>IF(AND(22&gt;='合同排期'!J10,22&lt;'合同排期'!J10+12),'合同排期'!L10,0)</x:f>
        <x:v>0</x:v>
      </x:c>
      <x:c r="AA49" s="8" t="n">
        <x:f>IF(AND(23&gt;='合同排期'!J10,23&lt;'合同排期'!J10+12),'合同排期'!L10,0)</x:f>
        <x:v>0</x:v>
      </x:c>
      <x:c r="AB49" s="8" t="n">
        <x:f>IF(AND(24&gt;='合同排期'!J10,24&lt;'合同排期'!J10+12),'合同排期'!L10,0)</x:f>
        <x:v>0</x:v>
      </x:c>
    </x:row>
    <x:row r="50" ht="23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  <x:c r="AA50" s="1"/>
      <x:c r="AB50" s="1"/>
    </x:row>
    <x:row r="51" ht="23" customHeight="1">
      <x:c r="A51" s="1"/>
      <x:c r="B51" s="1"/>
      <x:c r="C51" s="1" t="str">
        <x:v>P06</x:v>
      </x:c>
      <x:c r="D51" s="1" t="str">
        <x:v>净签约</x:v>
      </x:c>
      <x:c r="E51" s="8" t="n">
        <x:f>IF(1='合同排期'!H11,'合同排期'!K11+'合同排期'!L11,0)</x:f>
        <x:v>0</x:v>
      </x:c>
      <x:c r="F51" s="8" t="n">
        <x:f>IF(2='合同排期'!H11,'合同排期'!K11+'合同排期'!L11,0)</x:f>
        <x:v>0</x:v>
      </x:c>
      <x:c r="G51" s="8" t="n">
        <x:f>IF(3='合同排期'!H11,'合同排期'!K11+'合同排期'!L11,0)</x:f>
        <x:v>0</x:v>
      </x:c>
      <x:c r="H51" s="8" t="n">
        <x:f>IF(4='合同排期'!H11,'合同排期'!K11+'合同排期'!L11,0)</x:f>
        <x:v>0</x:v>
      </x:c>
      <x:c r="I51" s="8" t="n">
        <x:f>IF(5='合同排期'!H11,'合同排期'!K11+'合同排期'!L11,0)</x:f>
        <x:v>0</x:v>
      </x:c>
      <x:c r="J51" s="8" t="n">
        <x:f>IF(6='合同排期'!H11,'合同排期'!K11+'合同排期'!L11,0)</x:f>
        <x:v>0</x:v>
      </x:c>
      <x:c r="K51" s="8" t="n">
        <x:f>IF(7='合同排期'!H11,'合同排期'!K11+'合同排期'!L11,0)</x:f>
        <x:v>0</x:v>
      </x:c>
      <x:c r="L51" s="8" t="n">
        <x:f>IF(8='合同排期'!H11,'合同排期'!K11+'合同排期'!L11,0)</x:f>
        <x:v>8</x:v>
      </x:c>
      <x:c r="M51" s="8" t="n">
        <x:f>IF(9='合同排期'!H11,'合同排期'!K11+'合同排期'!L11,0)</x:f>
        <x:v>0</x:v>
      </x:c>
      <x:c r="N51" s="8" t="n">
        <x:f>IF(10='合同排期'!H11,'合同排期'!K11+'合同排期'!L11,0)</x:f>
        <x:v>0</x:v>
      </x:c>
      <x:c r="O51" s="8" t="n">
        <x:f>IF(11='合同排期'!H11,'合同排期'!K11+'合同排期'!L11,0)</x:f>
        <x:v>0</x:v>
      </x:c>
      <x:c r="P51" s="8" t="n">
        <x:f>IF(12='合同排期'!H11,'合同排期'!K11+'合同排期'!L11,0)</x:f>
        <x:v>0</x:v>
      </x:c>
      <x:c r="Q51" s="8" t="n">
        <x:f>IF(13='合同排期'!H11,'合同排期'!K11+'合同排期'!L11,0)</x:f>
        <x:v>0</x:v>
      </x:c>
      <x:c r="R51" s="8" t="n">
        <x:f>IF(14='合同排期'!H11,'合同排期'!K11+'合同排期'!L11,0)</x:f>
        <x:v>0</x:v>
      </x:c>
      <x:c r="S51" s="8" t="n">
        <x:f>IF(15='合同排期'!H11,'合同排期'!K11+'合同排期'!L11,0)</x:f>
        <x:v>0</x:v>
      </x:c>
      <x:c r="T51" s="8" t="n">
        <x:f>IF(16='合同排期'!H11,'合同排期'!K11+'合同排期'!L11,0)</x:f>
        <x:v>0</x:v>
      </x:c>
      <x:c r="U51" s="8" t="n">
        <x:f>IF(17='合同排期'!H11,'合同排期'!K11+'合同排期'!L11,0)</x:f>
        <x:v>0</x:v>
      </x:c>
      <x:c r="V51" s="8" t="n">
        <x:f>IF(18='合同排期'!H11,'合同排期'!K11+'合同排期'!L11,0)</x:f>
        <x:v>0</x:v>
      </x:c>
      <x:c r="W51" s="8" t="n">
        <x:f>IF(19='合同排期'!H11,'合同排期'!K11+'合同排期'!L11,0)</x:f>
        <x:v>0</x:v>
      </x:c>
      <x:c r="X51" s="8" t="n">
        <x:f>IF(20='合同排期'!H11,'合同排期'!K11+'合同排期'!L11,0)</x:f>
        <x:v>0</x:v>
      </x:c>
      <x:c r="Y51" s="8" t="n">
        <x:f>IF(21='合同排期'!H11,'合同排期'!K11+'合同排期'!L11,0)</x:f>
        <x:v>0</x:v>
      </x:c>
      <x:c r="Z51" s="8" t="n">
        <x:f>IF(22='合同排期'!H11,'合同排期'!K11+'合同排期'!L11,0)</x:f>
        <x:v>0</x:v>
      </x:c>
      <x:c r="AA51" s="8" t="n">
        <x:f>IF(23='合同排期'!H11,'合同排期'!K11+'合同排期'!L11,0)</x:f>
        <x:v>0</x:v>
      </x:c>
      <x:c r="AB51" s="8" t="n">
        <x:f>IF(24='合同排期'!H11,'合同排期'!K11+'合同排期'!L11,0)</x:f>
        <x:v>0</x:v>
      </x:c>
    </x:row>
    <x:row r="52" ht="23" customHeight="1">
      <x:c r="A52" s="1"/>
      <x:c r="B52" s="1"/>
      <x:c r="C52" s="1" t="str">
        <x:v>P06</x:v>
      </x:c>
      <x:c r="D52" s="1" t="str">
        <x:v>确认收入</x:v>
      </x:c>
      <x:c r="E52" s="8" t="n">
        <x:f>IF(1='合同排期'!I11,'合同排期'!K11,0)+IF(AND(1&gt;='合同排期'!J11,1&lt;'合同排期'!J11+12),'合同排期'!L11/12,0)</x:f>
        <x:v>0</x:v>
      </x:c>
      <x:c r="F52" s="8" t="n">
        <x:f>IF(2='合同排期'!I11,'合同排期'!K11,0)+IF(AND(2&gt;='合同排期'!J11,2&lt;'合同排期'!J11+12),'合同排期'!L11/12,0)</x:f>
        <x:v>0</x:v>
      </x:c>
      <x:c r="G52" s="8" t="n">
        <x:f>IF(3='合同排期'!I11,'合同排期'!K11,0)+IF(AND(3&gt;='合同排期'!J11,3&lt;'合同排期'!J11+12),'合同排期'!L11/12,0)</x:f>
        <x:v>0</x:v>
      </x:c>
      <x:c r="H52" s="8" t="n">
        <x:f>IF(4='合同排期'!I11,'合同排期'!K11,0)+IF(AND(4&gt;='合同排期'!J11,4&lt;'合同排期'!J11+12),'合同排期'!L11/12,0)</x:f>
        <x:v>0</x:v>
      </x:c>
      <x:c r="I52" s="8" t="n">
        <x:f>IF(5='合同排期'!I11,'合同排期'!K11,0)+IF(AND(5&gt;='合同排期'!J11,5&lt;'合同排期'!J11+12),'合同排期'!L11/12,0)</x:f>
        <x:v>0</x:v>
      </x:c>
      <x:c r="J52" s="8" t="n">
        <x:f>IF(6='合同排期'!I11,'合同排期'!K11,0)+IF(AND(6&gt;='合同排期'!J11,6&lt;'合同排期'!J11+12),'合同排期'!L11/12,0)</x:f>
        <x:v>0</x:v>
      </x:c>
      <x:c r="K52" s="8" t="n">
        <x:f>IF(7='合同排期'!I11,'合同排期'!K11,0)+IF(AND(7&gt;='合同排期'!J11,7&lt;'合同排期'!J11+12),'合同排期'!L11/12,0)</x:f>
        <x:v>0</x:v>
      </x:c>
      <x:c r="L52" s="8" t="n">
        <x:f>IF(8='合同排期'!I11,'合同排期'!K11,0)+IF(AND(8&gt;='合同排期'!J11,8&lt;'合同排期'!J11+12),'合同排期'!L11/12,0)</x:f>
        <x:v>0</x:v>
      </x:c>
      <x:c r="M52" s="8" t="n">
        <x:f>IF(9='合同排期'!I11,'合同排期'!K11,0)+IF(AND(9&gt;='合同排期'!J11,9&lt;'合同排期'!J11+12),'合同排期'!L11/12,0)</x:f>
        <x:v>8</x:v>
      </x:c>
      <x:c r="N52" s="8" t="n">
        <x:f>IF(10='合同排期'!I11,'合同排期'!K11,0)+IF(AND(10&gt;='合同排期'!J11,10&lt;'合同排期'!J11+12),'合同排期'!L11/12,0)</x:f>
        <x:v>0</x:v>
      </x:c>
      <x:c r="O52" s="8" t="n">
        <x:f>IF(11='合同排期'!I11,'合同排期'!K11,0)+IF(AND(11&gt;='合同排期'!J11,11&lt;'合同排期'!J11+12),'合同排期'!L11/12,0)</x:f>
        <x:v>0</x:v>
      </x:c>
      <x:c r="P52" s="8" t="n">
        <x:f>IF(12='合同排期'!I11,'合同排期'!K11,0)+IF(AND(12&gt;='合同排期'!J11,12&lt;'合同排期'!J11+12),'合同排期'!L11/12,0)</x:f>
        <x:v>0</x:v>
      </x:c>
      <x:c r="Q52" s="8" t="n">
        <x:f>IF(13='合同排期'!I11,'合同排期'!K11,0)+IF(AND(13&gt;='合同排期'!J11,13&lt;'合同排期'!J11+12),'合同排期'!L11/12,0)</x:f>
        <x:v>0</x:v>
      </x:c>
      <x:c r="R52" s="8" t="n">
        <x:f>IF(14='合同排期'!I11,'合同排期'!K11,0)+IF(AND(14&gt;='合同排期'!J11,14&lt;'合同排期'!J11+12),'合同排期'!L11/12,0)</x:f>
        <x:v>0</x:v>
      </x:c>
      <x:c r="S52" s="8" t="n">
        <x:f>IF(15='合同排期'!I11,'合同排期'!K11,0)+IF(AND(15&gt;='合同排期'!J11,15&lt;'合同排期'!J11+12),'合同排期'!L11/12,0)</x:f>
        <x:v>0</x:v>
      </x:c>
      <x:c r="T52" s="8" t="n">
        <x:f>IF(16='合同排期'!I11,'合同排期'!K11,0)+IF(AND(16&gt;='合同排期'!J11,16&lt;'合同排期'!J11+12),'合同排期'!L11/12,0)</x:f>
        <x:v>0</x:v>
      </x:c>
      <x:c r="U52" s="8" t="n">
        <x:f>IF(17='合同排期'!I11,'合同排期'!K11,0)+IF(AND(17&gt;='合同排期'!J11,17&lt;'合同排期'!J11+12),'合同排期'!L11/12,0)</x:f>
        <x:v>0</x:v>
      </x:c>
      <x:c r="V52" s="8" t="n">
        <x:f>IF(18='合同排期'!I11,'合同排期'!K11,0)+IF(AND(18&gt;='合同排期'!J11,18&lt;'合同排期'!J11+12),'合同排期'!L11/12,0)</x:f>
        <x:v>0</x:v>
      </x:c>
      <x:c r="W52" s="8" t="n">
        <x:f>IF(19='合同排期'!I11,'合同排期'!K11,0)+IF(AND(19&gt;='合同排期'!J11,19&lt;'合同排期'!J11+12),'合同排期'!L11/12,0)</x:f>
        <x:v>0</x:v>
      </x:c>
      <x:c r="X52" s="8" t="n">
        <x:f>IF(20='合同排期'!I11,'合同排期'!K11,0)+IF(AND(20&gt;='合同排期'!J11,20&lt;'合同排期'!J11+12),'合同排期'!L11/12,0)</x:f>
        <x:v>0</x:v>
      </x:c>
      <x:c r="Y52" s="8" t="n">
        <x:f>IF(21='合同排期'!I11,'合同排期'!K11,0)+IF(AND(21&gt;='合同排期'!J11,21&lt;'合同排期'!J11+12),'合同排期'!L11/12,0)</x:f>
        <x:v>0</x:v>
      </x:c>
      <x:c r="Z52" s="8" t="n">
        <x:f>IF(22='合同排期'!I11,'合同排期'!K11,0)+IF(AND(22&gt;='合同排期'!J11,22&lt;'合同排期'!J11+12),'合同排期'!L11/12,0)</x:f>
        <x:v>0</x:v>
      </x:c>
      <x:c r="AA52" s="8" t="n">
        <x:f>IF(23='合同排期'!I11,'合同排期'!K11,0)+IF(AND(23&gt;='合同排期'!J11,23&lt;'合同排期'!J11+12),'合同排期'!L11/12,0)</x:f>
        <x:v>0</x:v>
      </x:c>
      <x:c r="AB52" s="8" t="n">
        <x:f>IF(24='合同排期'!I11,'合同排期'!K11,0)+IF(AND(24&gt;='合同排期'!J11,24&lt;'合同排期'!J11+12),'合同排期'!L11/12,0)</x:f>
        <x:v>0</x:v>
      </x:c>
    </x:row>
    <x:row r="53" ht="23" customHeight="1">
      <x:c r="A53" s="1"/>
      <x:c r="B53" s="1"/>
      <x:c r="C53" s="1" t="str">
        <x:v>P06</x:v>
      </x:c>
      <x:c r="D53" s="1" t="str">
        <x:v>开票</x:v>
      </x:c>
      <x:c r="E53" s="8" t="n">
        <x:f>IF(1='合同排期'!H11,'合同排期'!K11*'合同排期'!P11,0)+IF(1='合同排期'!S11,'合同排期'!K11*'合同排期'!Q11,0)+IF(1='合同排期'!I11,'合同排期'!K11*'合同排期'!R11,0)+IF(1='合同排期'!J11,'合同排期'!L11,0)</x:f>
        <x:v>0</x:v>
      </x:c>
      <x:c r="F53" s="8" t="n">
        <x:f>IF(2='合同排期'!H11,'合同排期'!K11*'合同排期'!P11,0)+IF(2='合同排期'!S11,'合同排期'!K11*'合同排期'!Q11,0)+IF(2='合同排期'!I11,'合同排期'!K11*'合同排期'!R11,0)+IF(2='合同排期'!J11,'合同排期'!L11,0)</x:f>
        <x:v>0</x:v>
      </x:c>
      <x:c r="G53" s="8" t="n">
        <x:f>IF(3='合同排期'!H11,'合同排期'!K11*'合同排期'!P11,0)+IF(3='合同排期'!S11,'合同排期'!K11*'合同排期'!Q11,0)+IF(3='合同排期'!I11,'合同排期'!K11*'合同排期'!R11,0)+IF(3='合同排期'!J11,'合同排期'!L11,0)</x:f>
        <x:v>0</x:v>
      </x:c>
      <x:c r="H53" s="8" t="n">
        <x:f>IF(4='合同排期'!H11,'合同排期'!K11*'合同排期'!P11,0)+IF(4='合同排期'!S11,'合同排期'!K11*'合同排期'!Q11,0)+IF(4='合同排期'!I11,'合同排期'!K11*'合同排期'!R11,0)+IF(4='合同排期'!J11,'合同排期'!L11,0)</x:f>
        <x:v>0</x:v>
      </x:c>
      <x:c r="I53" s="8" t="n">
        <x:f>IF(5='合同排期'!H11,'合同排期'!K11*'合同排期'!P11,0)+IF(5='合同排期'!S11,'合同排期'!K11*'合同排期'!Q11,0)+IF(5='合同排期'!I11,'合同排期'!K11*'合同排期'!R11,0)+IF(5='合同排期'!J11,'合同排期'!L11,0)</x:f>
        <x:v>0</x:v>
      </x:c>
      <x:c r="J53" s="8" t="n">
        <x:f>IF(6='合同排期'!H11,'合同排期'!K11*'合同排期'!P11,0)+IF(6='合同排期'!S11,'合同排期'!K11*'合同排期'!Q11,0)+IF(6='合同排期'!I11,'合同排期'!K11*'合同排期'!R11,0)+IF(6='合同排期'!J11,'合同排期'!L11,0)</x:f>
        <x:v>0</x:v>
      </x:c>
      <x:c r="K53" s="8" t="n">
        <x:f>IF(7='合同排期'!H11,'合同排期'!K11*'合同排期'!P11,0)+IF(7='合同排期'!S11,'合同排期'!K11*'合同排期'!Q11,0)+IF(7='合同排期'!I11,'合同排期'!K11*'合同排期'!R11,0)+IF(7='合同排期'!J11,'合同排期'!L11,0)</x:f>
        <x:v>0</x:v>
      </x:c>
      <x:c r="L53" s="8" t="n">
        <x:f>IF(8='合同排期'!H11,'合同排期'!K11*'合同排期'!P11,0)+IF(8='合同排期'!S11,'合同排期'!K11*'合同排期'!Q11,0)+IF(8='合同排期'!I11,'合同排期'!K11*'合同排期'!R11,0)+IF(8='合同排期'!J11,'合同排期'!L11,0)</x:f>
        <x:v>2.4</x:v>
      </x:c>
      <x:c r="M53" s="8" t="n">
        <x:f>IF(9='合同排期'!H11,'合同排期'!K11*'合同排期'!P11,0)+IF(9='合同排期'!S11,'合同排期'!K11*'合同排期'!Q11,0)+IF(9='合同排期'!I11,'合同排期'!K11*'合同排期'!R11,0)+IF(9='合同排期'!J11,'合同排期'!L11,0)</x:f>
        <x:v>5.6</x:v>
      </x:c>
      <x:c r="N53" s="8" t="n">
        <x:f>IF(10='合同排期'!H11,'合同排期'!K11*'合同排期'!P11,0)+IF(10='合同排期'!S11,'合同排期'!K11*'合同排期'!Q11,0)+IF(10='合同排期'!I11,'合同排期'!K11*'合同排期'!R11,0)+IF(10='合同排期'!J11,'合同排期'!L11,0)</x:f>
        <x:v>0</x:v>
      </x:c>
      <x:c r="O53" s="8" t="n">
        <x:f>IF(11='合同排期'!H11,'合同排期'!K11*'合同排期'!P11,0)+IF(11='合同排期'!S11,'合同排期'!K11*'合同排期'!Q11,0)+IF(11='合同排期'!I11,'合同排期'!K11*'合同排期'!R11,0)+IF(11='合同排期'!J11,'合同排期'!L11,0)</x:f>
        <x:v>0</x:v>
      </x:c>
      <x:c r="P53" s="8" t="n">
        <x:f>IF(12='合同排期'!H11,'合同排期'!K11*'合同排期'!P11,0)+IF(12='合同排期'!S11,'合同排期'!K11*'合同排期'!Q11,0)+IF(12='合同排期'!I11,'合同排期'!K11*'合同排期'!R11,0)+IF(12='合同排期'!J11,'合同排期'!L11,0)</x:f>
        <x:v>0</x:v>
      </x:c>
      <x:c r="Q53" s="8" t="n">
        <x:f>IF(13='合同排期'!H11,'合同排期'!K11*'合同排期'!P11,0)+IF(13='合同排期'!S11,'合同排期'!K11*'合同排期'!Q11,0)+IF(13='合同排期'!I11,'合同排期'!K11*'合同排期'!R11,0)+IF(13='合同排期'!J11,'合同排期'!L11,0)</x:f>
        <x:v>0</x:v>
      </x:c>
      <x:c r="R53" s="8" t="n">
        <x:f>IF(14='合同排期'!H11,'合同排期'!K11*'合同排期'!P11,0)+IF(14='合同排期'!S11,'合同排期'!K11*'合同排期'!Q11,0)+IF(14='合同排期'!I11,'合同排期'!K11*'合同排期'!R11,0)+IF(14='合同排期'!J11,'合同排期'!L11,0)</x:f>
        <x:v>0</x:v>
      </x:c>
      <x:c r="S53" s="8" t="n">
        <x:f>IF(15='合同排期'!H11,'合同排期'!K11*'合同排期'!P11,0)+IF(15='合同排期'!S11,'合同排期'!K11*'合同排期'!Q11,0)+IF(15='合同排期'!I11,'合同排期'!K11*'合同排期'!R11,0)+IF(15='合同排期'!J11,'合同排期'!L11,0)</x:f>
        <x:v>0</x:v>
      </x:c>
      <x:c r="T53" s="8" t="n">
        <x:f>IF(16='合同排期'!H11,'合同排期'!K11*'合同排期'!P11,0)+IF(16='合同排期'!S11,'合同排期'!K11*'合同排期'!Q11,0)+IF(16='合同排期'!I11,'合同排期'!K11*'合同排期'!R11,0)+IF(16='合同排期'!J11,'合同排期'!L11,0)</x:f>
        <x:v>0</x:v>
      </x:c>
      <x:c r="U53" s="8" t="n">
        <x:f>IF(17='合同排期'!H11,'合同排期'!K11*'合同排期'!P11,0)+IF(17='合同排期'!S11,'合同排期'!K11*'合同排期'!Q11,0)+IF(17='合同排期'!I11,'合同排期'!K11*'合同排期'!R11,0)+IF(17='合同排期'!J11,'合同排期'!L11,0)</x:f>
        <x:v>0</x:v>
      </x:c>
      <x:c r="V53" s="8" t="n">
        <x:f>IF(18='合同排期'!H11,'合同排期'!K11*'合同排期'!P11,0)+IF(18='合同排期'!S11,'合同排期'!K11*'合同排期'!Q11,0)+IF(18='合同排期'!I11,'合同排期'!K11*'合同排期'!R11,0)+IF(18='合同排期'!J11,'合同排期'!L11,0)</x:f>
        <x:v>0</x:v>
      </x:c>
      <x:c r="W53" s="8" t="n">
        <x:f>IF(19='合同排期'!H11,'合同排期'!K11*'合同排期'!P11,0)+IF(19='合同排期'!S11,'合同排期'!K11*'合同排期'!Q11,0)+IF(19='合同排期'!I11,'合同排期'!K11*'合同排期'!R11,0)+IF(19='合同排期'!J11,'合同排期'!L11,0)</x:f>
        <x:v>0</x:v>
      </x:c>
      <x:c r="X53" s="8" t="n">
        <x:f>IF(20='合同排期'!H11,'合同排期'!K11*'合同排期'!P11,0)+IF(20='合同排期'!S11,'合同排期'!K11*'合同排期'!Q11,0)+IF(20='合同排期'!I11,'合同排期'!K11*'合同排期'!R11,0)+IF(20='合同排期'!J11,'合同排期'!L11,0)</x:f>
        <x:v>0</x:v>
      </x:c>
      <x:c r="Y53" s="8" t="n">
        <x:f>IF(21='合同排期'!H11,'合同排期'!K11*'合同排期'!P11,0)+IF(21='合同排期'!S11,'合同排期'!K11*'合同排期'!Q11,0)+IF(21='合同排期'!I11,'合同排期'!K11*'合同排期'!R11,0)+IF(21='合同排期'!J11,'合同排期'!L11,0)</x:f>
        <x:v>0</x:v>
      </x:c>
      <x:c r="Z53" s="8" t="n">
        <x:f>IF(22='合同排期'!H11,'合同排期'!K11*'合同排期'!P11,0)+IF(22='合同排期'!S11,'合同排期'!K11*'合同排期'!Q11,0)+IF(22='合同排期'!I11,'合同排期'!K11*'合同排期'!R11,0)+IF(22='合同排期'!J11,'合同排期'!L11,0)</x:f>
        <x:v>0</x:v>
      </x:c>
      <x:c r="AA53" s="8" t="n">
        <x:f>IF(23='合同排期'!H11,'合同排期'!K11*'合同排期'!P11,0)+IF(23='合同排期'!S11,'合同排期'!K11*'合同排期'!Q11,0)+IF(23='合同排期'!I11,'合同排期'!K11*'合同排期'!R11,0)+IF(23='合同排期'!J11,'合同排期'!L11,0)</x:f>
        <x:v>0</x:v>
      </x:c>
      <x:c r="AB53" s="8" t="n">
        <x:f>IF(24='合同排期'!H11,'合同排期'!K11*'合同排期'!P11,0)+IF(24='合同排期'!S11,'合同排期'!K11*'合同排期'!Q11,0)+IF(24='合同排期'!I11,'合同排期'!K11*'合同排期'!R11,0)+IF(24='合同排期'!J11,'合同排期'!L11,0)</x:f>
        <x:v>0</x:v>
      </x:c>
    </x:row>
    <x:row r="54" ht="23" customHeight="1">
      <x:c r="A54" s="1"/>
      <x:c r="B54" s="1"/>
      <x:c r="C54" s="1" t="str">
        <x:v>P06</x:v>
      </x:c>
      <x:c r="D54" s="1" t="str">
        <x:v>回款</x:v>
      </x:c>
      <x:c r="E54" s="8" t="n">
        <x:f>IF(1&gt;'假设'!D27,INDEX($E53:$AB53,1,1-'假设'!D27),0)</x:f>
        <x:v>0</x:v>
      </x:c>
      <x:c r="F54" s="8" t="n">
        <x:f>IF(2&gt;'假设'!D27,INDEX($E53:$AB53,1,2-'假设'!D27),0)</x:f>
        <x:v>0</x:v>
      </x:c>
      <x:c r="G54" s="8" t="n">
        <x:f>IF(3&gt;'假设'!D27,INDEX($E53:$AB53,1,3-'假设'!D27),0)</x:f>
        <x:v>0</x:v>
      </x:c>
      <x:c r="H54" s="8" t="n">
        <x:f>IF(4&gt;'假设'!D27,INDEX($E53:$AB53,1,4-'假设'!D27),0)</x:f>
        <x:v>0</x:v>
      </x:c>
      <x:c r="I54" s="8" t="n">
        <x:f>IF(5&gt;'假设'!D27,INDEX($E53:$AB53,1,5-'假设'!D27),0)</x:f>
        <x:v>0</x:v>
      </x:c>
      <x:c r="J54" s="8" t="n">
        <x:f>IF(6&gt;'假设'!D27,INDEX($E53:$AB53,1,6-'假设'!D27),0)</x:f>
        <x:v>0</x:v>
      </x:c>
      <x:c r="K54" s="8" t="n">
        <x:f>IF(7&gt;'假设'!D27,INDEX($E53:$AB53,1,7-'假设'!D27),0)</x:f>
        <x:v>0</x:v>
      </x:c>
      <x:c r="L54" s="8" t="n">
        <x:f>IF(8&gt;'假设'!D27,INDEX($E53:$AB53,1,8-'假设'!D27),0)</x:f>
        <x:v>0</x:v>
      </x:c>
      <x:c r="M54" s="8" t="n">
        <x:f>IF(9&gt;'假设'!D27,INDEX($E53:$AB53,1,9-'假设'!D27),0)</x:f>
        <x:v>2.4</x:v>
      </x:c>
      <x:c r="N54" s="8" t="n">
        <x:f>IF(10&gt;'假设'!D27,INDEX($E53:$AB53,1,10-'假设'!D27),0)</x:f>
        <x:v>5.6</x:v>
      </x:c>
      <x:c r="O54" s="8" t="n">
        <x:f>IF(11&gt;'假设'!D27,INDEX($E53:$AB53,1,11-'假设'!D27),0)</x:f>
        <x:v>0</x:v>
      </x:c>
      <x:c r="P54" s="8" t="n">
        <x:f>IF(12&gt;'假设'!D27,INDEX($E53:$AB53,1,12-'假设'!D27),0)</x:f>
        <x:v>0</x:v>
      </x:c>
      <x:c r="Q54" s="8" t="n">
        <x:f>IF(13&gt;'假设'!D27,INDEX($E53:$AB53,1,13-'假设'!D27),0)</x:f>
        <x:v>0</x:v>
      </x:c>
      <x:c r="R54" s="8" t="n">
        <x:f>IF(14&gt;'假设'!D27,INDEX($E53:$AB53,1,14-'假设'!D27),0)</x:f>
        <x:v>0</x:v>
      </x:c>
      <x:c r="S54" s="8" t="n">
        <x:f>IF(15&gt;'假设'!D27,INDEX($E53:$AB53,1,15-'假设'!D27),0)</x:f>
        <x:v>0</x:v>
      </x:c>
      <x:c r="T54" s="8" t="n">
        <x:f>IF(16&gt;'假设'!D27,INDEX($E53:$AB53,1,16-'假设'!D27),0)</x:f>
        <x:v>0</x:v>
      </x:c>
      <x:c r="U54" s="8" t="n">
        <x:f>IF(17&gt;'假设'!D27,INDEX($E53:$AB53,1,17-'假设'!D27),0)</x:f>
        <x:v>0</x:v>
      </x:c>
      <x:c r="V54" s="8" t="n">
        <x:f>IF(18&gt;'假设'!D27,INDEX($E53:$AB53,1,18-'假设'!D27),0)</x:f>
        <x:v>0</x:v>
      </x:c>
      <x:c r="W54" s="8" t="n">
        <x:f>IF(19&gt;'假设'!D27,INDEX($E53:$AB53,1,19-'假设'!D27),0)</x:f>
        <x:v>0</x:v>
      </x:c>
      <x:c r="X54" s="8" t="n">
        <x:f>IF(20&gt;'假设'!D27,INDEX($E53:$AB53,1,20-'假设'!D27),0)</x:f>
        <x:v>0</x:v>
      </x:c>
      <x:c r="Y54" s="8" t="n">
        <x:f>IF(21&gt;'假设'!D27,INDEX($E53:$AB53,1,21-'假设'!D27),0)</x:f>
        <x:v>0</x:v>
      </x:c>
      <x:c r="Z54" s="8" t="n">
        <x:f>IF(22&gt;'假设'!D27,INDEX($E53:$AB53,1,22-'假设'!D27),0)</x:f>
        <x:v>0</x:v>
      </x:c>
      <x:c r="AA54" s="8" t="n">
        <x:f>IF(23&gt;'假设'!D27,INDEX($E53:$AB53,1,23-'假设'!D27),0)</x:f>
        <x:v>0</x:v>
      </x:c>
      <x:c r="AB54" s="8" t="n">
        <x:f>IF(24&gt;'假设'!D27,INDEX($E53:$AB53,1,24-'假设'!D27),0)</x:f>
        <x:v>0</x:v>
      </x:c>
    </x:row>
    <x:row r="55" ht="23" customHeight="1">
      <x:c r="A55" s="1"/>
      <x:c r="B55" s="1"/>
      <x:c r="C55" s="1" t="str">
        <x:v>P06</x:v>
      </x:c>
      <x:c r="D55" s="1" t="str">
        <x:v>直接损益成本</x:v>
      </x:c>
      <x:c r="E55" s="8" t="n">
        <x:f>IF(1='合同排期'!I11,'合同排期'!N11,0)+IF(AND(1&gt;='合同排期'!J11,1&lt;'合同排期'!J11+12),'合同排期'!O11,0)+E51*'假设'!D47</x:f>
        <x:v>0</x:v>
      </x:c>
      <x:c r="F55" s="8" t="n">
        <x:f>IF(2='合同排期'!I11,'合同排期'!N11,0)+IF(AND(2&gt;='合同排期'!J11,2&lt;'合同排期'!J11+12),'合同排期'!O11,0)+F51*'假设'!D47</x:f>
        <x:v>0</x:v>
      </x:c>
      <x:c r="G55" s="8" t="n">
        <x:f>IF(3='合同排期'!I11,'合同排期'!N11,0)+IF(AND(3&gt;='合同排期'!J11,3&lt;'合同排期'!J11+12),'合同排期'!O11,0)+G51*'假设'!D47</x:f>
        <x:v>0</x:v>
      </x:c>
      <x:c r="H55" s="8" t="n">
        <x:f>IF(4='合同排期'!I11,'合同排期'!N11,0)+IF(AND(4&gt;='合同排期'!J11,4&lt;'合同排期'!J11+12),'合同排期'!O11,0)+H51*'假设'!D47</x:f>
        <x:v>0</x:v>
      </x:c>
      <x:c r="I55" s="8" t="n">
        <x:f>IF(5='合同排期'!I11,'合同排期'!N11,0)+IF(AND(5&gt;='合同排期'!J11,5&lt;'合同排期'!J11+12),'合同排期'!O11,0)+I51*'假设'!D47</x:f>
        <x:v>0</x:v>
      </x:c>
      <x:c r="J55" s="8" t="n">
        <x:f>IF(6='合同排期'!I11,'合同排期'!N11,0)+IF(AND(6&gt;='合同排期'!J11,6&lt;'合同排期'!J11+12),'合同排期'!O11,0)+J51*'假设'!D47</x:f>
        <x:v>0</x:v>
      </x:c>
      <x:c r="K55" s="8" t="n">
        <x:f>IF(7='合同排期'!I11,'合同排期'!N11,0)+IF(AND(7&gt;='合同排期'!J11,7&lt;'合同排期'!J11+12),'合同排期'!O11,0)+K51*'假设'!D47</x:f>
        <x:v>0</x:v>
      </x:c>
      <x:c r="L55" s="8" t="n">
        <x:f>IF(8='合同排期'!I11,'合同排期'!N11,0)+IF(AND(8&gt;='合同排期'!J11,8&lt;'合同排期'!J11+12),'合同排期'!O11,0)+L51*'假设'!D47</x:f>
        <x:v>0.4</x:v>
      </x:c>
      <x:c r="M55" s="8" t="n">
        <x:f>IF(9='合同排期'!I11,'合同排期'!N11,0)+IF(AND(9&gt;='合同排期'!J11,9&lt;'合同排期'!J11+12),'合同排期'!O11,0)+M51*'假设'!D47</x:f>
        <x:v>3.7</x:v>
      </x:c>
      <x:c r="N55" s="8" t="n">
        <x:f>IF(10='合同排期'!I11,'合同排期'!N11,0)+IF(AND(10&gt;='合同排期'!J11,10&lt;'合同排期'!J11+12),'合同排期'!O11,0)+N51*'假设'!D47</x:f>
        <x:v>0</x:v>
      </x:c>
      <x:c r="O55" s="8" t="n">
        <x:f>IF(11='合同排期'!I11,'合同排期'!N11,0)+IF(AND(11&gt;='合同排期'!J11,11&lt;'合同排期'!J11+12),'合同排期'!O11,0)+O51*'假设'!D47</x:f>
        <x:v>0</x:v>
      </x:c>
      <x:c r="P55" s="8" t="n">
        <x:f>IF(12='合同排期'!I11,'合同排期'!N11,0)+IF(AND(12&gt;='合同排期'!J11,12&lt;'合同排期'!J11+12),'合同排期'!O11,0)+P51*'假设'!D47</x:f>
        <x:v>0</x:v>
      </x:c>
      <x:c r="Q55" s="8" t="n">
        <x:f>IF(13='合同排期'!I11,'合同排期'!N11,0)+IF(AND(13&gt;='合同排期'!J11,13&lt;'合同排期'!J11+12),'合同排期'!O11,0)+Q51*'假设'!D47</x:f>
        <x:v>0</x:v>
      </x:c>
      <x:c r="R55" s="8" t="n">
        <x:f>IF(14='合同排期'!I11,'合同排期'!N11,0)+IF(AND(14&gt;='合同排期'!J11,14&lt;'合同排期'!J11+12),'合同排期'!O11,0)+R51*'假设'!D47</x:f>
        <x:v>0</x:v>
      </x:c>
      <x:c r="S55" s="8" t="n">
        <x:f>IF(15='合同排期'!I11,'合同排期'!N11,0)+IF(AND(15&gt;='合同排期'!J11,15&lt;'合同排期'!J11+12),'合同排期'!O11,0)+S51*'假设'!D47</x:f>
        <x:v>0</x:v>
      </x:c>
      <x:c r="T55" s="8" t="n">
        <x:f>IF(16='合同排期'!I11,'合同排期'!N11,0)+IF(AND(16&gt;='合同排期'!J11,16&lt;'合同排期'!J11+12),'合同排期'!O11,0)+T51*'假设'!D47</x:f>
        <x:v>0</x:v>
      </x:c>
      <x:c r="U55" s="8" t="n">
        <x:f>IF(17='合同排期'!I11,'合同排期'!N11,0)+IF(AND(17&gt;='合同排期'!J11,17&lt;'合同排期'!J11+12),'合同排期'!O11,0)+U51*'假设'!D47</x:f>
        <x:v>0</x:v>
      </x:c>
      <x:c r="V55" s="8" t="n">
        <x:f>IF(18='合同排期'!I11,'合同排期'!N11,0)+IF(AND(18&gt;='合同排期'!J11,18&lt;'合同排期'!J11+12),'合同排期'!O11,0)+V51*'假设'!D47</x:f>
        <x:v>0</x:v>
      </x:c>
      <x:c r="W55" s="8" t="n">
        <x:f>IF(19='合同排期'!I11,'合同排期'!N11,0)+IF(AND(19&gt;='合同排期'!J11,19&lt;'合同排期'!J11+12),'合同排期'!O11,0)+W51*'假设'!D47</x:f>
        <x:v>0</x:v>
      </x:c>
      <x:c r="X55" s="8" t="n">
        <x:f>IF(20='合同排期'!I11,'合同排期'!N11,0)+IF(AND(20&gt;='合同排期'!J11,20&lt;'合同排期'!J11+12),'合同排期'!O11,0)+X51*'假设'!D47</x:f>
        <x:v>0</x:v>
      </x:c>
      <x:c r="Y55" s="8" t="n">
        <x:f>IF(21='合同排期'!I11,'合同排期'!N11,0)+IF(AND(21&gt;='合同排期'!J11,21&lt;'合同排期'!J11+12),'合同排期'!O11,0)+Y51*'假设'!D47</x:f>
        <x:v>0</x:v>
      </x:c>
      <x:c r="Z55" s="8" t="n">
        <x:f>IF(22='合同排期'!I11,'合同排期'!N11,0)+IF(AND(22&gt;='合同排期'!J11,22&lt;'合同排期'!J11+12),'合同排期'!O11,0)+Z51*'假设'!D47</x:f>
        <x:v>0</x:v>
      </x:c>
      <x:c r="AA55" s="8" t="n">
        <x:f>IF(23='合同排期'!I11,'合同排期'!N11,0)+IF(AND(23&gt;='合同排期'!J11,23&lt;'合同排期'!J11+12),'合同排期'!O11,0)+AA51*'假设'!D47</x:f>
        <x:v>0</x:v>
      </x:c>
      <x:c r="AB55" s="8" t="n">
        <x:f>IF(24='合同排期'!I11,'合同排期'!N11,0)+IF(AND(24&gt;='合同排期'!J11,24&lt;'合同排期'!J11+12),'合同排期'!O11,0)+AB51*'假设'!D47</x:f>
        <x:v>0</x:v>
      </x:c>
    </x:row>
    <x:row r="56" ht="23" customHeight="1">
      <x:c r="A56" s="1"/>
      <x:c r="B56" s="1"/>
      <x:c r="C56" s="1" t="str">
        <x:v>P06</x:v>
      </x:c>
      <x:c r="D56" s="1" t="str">
        <x:v>直接现金成本</x:v>
      </x:c>
      <x:c r="E56" s="8" t="n">
        <x:f>IF(AND(1&gt;='合同排期'!H11,1&lt;='合同排期'!I11),'合同排期'!N11/('合同排期'!I11-'合同排期'!H11+1),0)+IF(AND(1&gt;='合同排期'!J11,1&lt;'合同排期'!J11+12),'合同排期'!O11,0)+E54*'假设'!D47</x:f>
        <x:v>0</x:v>
      </x:c>
      <x:c r="F56" s="8" t="n">
        <x:f>IF(AND(2&gt;='合同排期'!H11,2&lt;='合同排期'!I11),'合同排期'!N11/('合同排期'!I11-'合同排期'!H11+1),0)+IF(AND(2&gt;='合同排期'!J11,2&lt;'合同排期'!J11+12),'合同排期'!O11,0)+F54*'假设'!D47</x:f>
        <x:v>0</x:v>
      </x:c>
      <x:c r="G56" s="8" t="n">
        <x:f>IF(AND(3&gt;='合同排期'!H11,3&lt;='合同排期'!I11),'合同排期'!N11/('合同排期'!I11-'合同排期'!H11+1),0)+IF(AND(3&gt;='合同排期'!J11,3&lt;'合同排期'!J11+12),'合同排期'!O11,0)+G54*'假设'!D47</x:f>
        <x:v>0</x:v>
      </x:c>
      <x:c r="H56" s="8" t="n">
        <x:f>IF(AND(4&gt;='合同排期'!H11,4&lt;='合同排期'!I11),'合同排期'!N11/('合同排期'!I11-'合同排期'!H11+1),0)+IF(AND(4&gt;='合同排期'!J11,4&lt;'合同排期'!J11+12),'合同排期'!O11,0)+H54*'假设'!D47</x:f>
        <x:v>0</x:v>
      </x:c>
      <x:c r="I56" s="8" t="n">
        <x:f>IF(AND(5&gt;='合同排期'!H11,5&lt;='合同排期'!I11),'合同排期'!N11/('合同排期'!I11-'合同排期'!H11+1),0)+IF(AND(5&gt;='合同排期'!J11,5&lt;'合同排期'!J11+12),'合同排期'!O11,0)+I54*'假设'!D47</x:f>
        <x:v>0</x:v>
      </x:c>
      <x:c r="J56" s="8" t="n">
        <x:f>IF(AND(6&gt;='合同排期'!H11,6&lt;='合同排期'!I11),'合同排期'!N11/('合同排期'!I11-'合同排期'!H11+1),0)+IF(AND(6&gt;='合同排期'!J11,6&lt;'合同排期'!J11+12),'合同排期'!O11,0)+J54*'假设'!D47</x:f>
        <x:v>0</x:v>
      </x:c>
      <x:c r="K56" s="8" t="n">
        <x:f>IF(AND(7&gt;='合同排期'!H11,7&lt;='合同排期'!I11),'合同排期'!N11/('合同排期'!I11-'合同排期'!H11+1),0)+IF(AND(7&gt;='合同排期'!J11,7&lt;'合同排期'!J11+12),'合同排期'!O11,0)+K54*'假设'!D47</x:f>
        <x:v>0</x:v>
      </x:c>
      <x:c r="L56" s="8" t="n">
        <x:f>IF(AND(8&gt;='合同排期'!H11,8&lt;='合同排期'!I11),'合同排期'!N11/('合同排期'!I11-'合同排期'!H11+1),0)+IF(AND(8&gt;='合同排期'!J11,8&lt;'合同排期'!J11+12),'合同排期'!O11,0)+L54*'假设'!D47</x:f>
        <x:v>1.85</x:v>
      </x:c>
      <x:c r="M56" s="8" t="n">
        <x:f>IF(AND(9&gt;='合同排期'!H11,9&lt;='合同排期'!I11),'合同排期'!N11/('合同排期'!I11-'合同排期'!H11+1),0)+IF(AND(9&gt;='合同排期'!J11,9&lt;'合同排期'!J11+12),'合同排期'!O11,0)+M54*'假设'!D47</x:f>
        <x:v>1.9700000000000002</x:v>
      </x:c>
      <x:c r="N56" s="8" t="n">
        <x:f>IF(AND(10&gt;='合同排期'!H11,10&lt;='合同排期'!I11),'合同排期'!N11/('合同排期'!I11-'合同排期'!H11+1),0)+IF(AND(10&gt;='合同排期'!J11,10&lt;'合同排期'!J11+12),'合同排期'!O11,0)+N54*'假设'!D47</x:f>
        <x:v>0.27999999999999997</x:v>
      </x:c>
      <x:c r="O56" s="8" t="n">
        <x:f>IF(AND(11&gt;='合同排期'!H11,11&lt;='合同排期'!I11),'合同排期'!N11/('合同排期'!I11-'合同排期'!H11+1),0)+IF(AND(11&gt;='合同排期'!J11,11&lt;'合同排期'!J11+12),'合同排期'!O11,0)+O54*'假设'!D47</x:f>
        <x:v>0</x:v>
      </x:c>
      <x:c r="P56" s="8" t="n">
        <x:f>IF(AND(12&gt;='合同排期'!H11,12&lt;='合同排期'!I11),'合同排期'!N11/('合同排期'!I11-'合同排期'!H11+1),0)+IF(AND(12&gt;='合同排期'!J11,12&lt;'合同排期'!J11+12),'合同排期'!O11,0)+P54*'假设'!D47</x:f>
        <x:v>0</x:v>
      </x:c>
      <x:c r="Q56" s="8" t="n">
        <x:f>IF(AND(13&gt;='合同排期'!H11,13&lt;='合同排期'!I11),'合同排期'!N11/('合同排期'!I11-'合同排期'!H11+1),0)+IF(AND(13&gt;='合同排期'!J11,13&lt;'合同排期'!J11+12),'合同排期'!O11,0)+Q54*'假设'!D47</x:f>
        <x:v>0</x:v>
      </x:c>
      <x:c r="R56" s="8" t="n">
        <x:f>IF(AND(14&gt;='合同排期'!H11,14&lt;='合同排期'!I11),'合同排期'!N11/('合同排期'!I11-'合同排期'!H11+1),0)+IF(AND(14&gt;='合同排期'!J11,14&lt;'合同排期'!J11+12),'合同排期'!O11,0)+R54*'假设'!D47</x:f>
        <x:v>0</x:v>
      </x:c>
      <x:c r="S56" s="8" t="n">
        <x:f>IF(AND(15&gt;='合同排期'!H11,15&lt;='合同排期'!I11),'合同排期'!N11/('合同排期'!I11-'合同排期'!H11+1),0)+IF(AND(15&gt;='合同排期'!J11,15&lt;'合同排期'!J11+12),'合同排期'!O11,0)+S54*'假设'!D47</x:f>
        <x:v>0</x:v>
      </x:c>
      <x:c r="T56" s="8" t="n">
        <x:f>IF(AND(16&gt;='合同排期'!H11,16&lt;='合同排期'!I11),'合同排期'!N11/('合同排期'!I11-'合同排期'!H11+1),0)+IF(AND(16&gt;='合同排期'!J11,16&lt;'合同排期'!J11+12),'合同排期'!O11,0)+T54*'假设'!D47</x:f>
        <x:v>0</x:v>
      </x:c>
      <x:c r="U56" s="8" t="n">
        <x:f>IF(AND(17&gt;='合同排期'!H11,17&lt;='合同排期'!I11),'合同排期'!N11/('合同排期'!I11-'合同排期'!H11+1),0)+IF(AND(17&gt;='合同排期'!J11,17&lt;'合同排期'!J11+12),'合同排期'!O11,0)+U54*'假设'!D47</x:f>
        <x:v>0</x:v>
      </x:c>
      <x:c r="V56" s="8" t="n">
        <x:f>IF(AND(18&gt;='合同排期'!H11,18&lt;='合同排期'!I11),'合同排期'!N11/('合同排期'!I11-'合同排期'!H11+1),0)+IF(AND(18&gt;='合同排期'!J11,18&lt;'合同排期'!J11+12),'合同排期'!O11,0)+V54*'假设'!D47</x:f>
        <x:v>0</x:v>
      </x:c>
      <x:c r="W56" s="8" t="n">
        <x:f>IF(AND(19&gt;='合同排期'!H11,19&lt;='合同排期'!I11),'合同排期'!N11/('合同排期'!I11-'合同排期'!H11+1),0)+IF(AND(19&gt;='合同排期'!J11,19&lt;'合同排期'!J11+12),'合同排期'!O11,0)+W54*'假设'!D47</x:f>
        <x:v>0</x:v>
      </x:c>
      <x:c r="X56" s="8" t="n">
        <x:f>IF(AND(20&gt;='合同排期'!H11,20&lt;='合同排期'!I11),'合同排期'!N11/('合同排期'!I11-'合同排期'!H11+1),0)+IF(AND(20&gt;='合同排期'!J11,20&lt;'合同排期'!J11+12),'合同排期'!O11,0)+X54*'假设'!D47</x:f>
        <x:v>0</x:v>
      </x:c>
      <x:c r="Y56" s="8" t="n">
        <x:f>IF(AND(21&gt;='合同排期'!H11,21&lt;='合同排期'!I11),'合同排期'!N11/('合同排期'!I11-'合同排期'!H11+1),0)+IF(AND(21&gt;='合同排期'!J11,21&lt;'合同排期'!J11+12),'合同排期'!O11,0)+Y54*'假设'!D47</x:f>
        <x:v>0</x:v>
      </x:c>
      <x:c r="Z56" s="8" t="n">
        <x:f>IF(AND(22&gt;='合同排期'!H11,22&lt;='合同排期'!I11),'合同排期'!N11/('合同排期'!I11-'合同排期'!H11+1),0)+IF(AND(22&gt;='合同排期'!J11,22&lt;'合同排期'!J11+12),'合同排期'!O11,0)+Z54*'假设'!D47</x:f>
        <x:v>0</x:v>
      </x:c>
      <x:c r="AA56" s="8" t="n">
        <x:f>IF(AND(23&gt;='合同排期'!H11,23&lt;='合同排期'!I11),'合同排期'!N11/('合同排期'!I11-'合同排期'!H11+1),0)+IF(AND(23&gt;='合同排期'!J11,23&lt;'合同排期'!J11+12),'合同排期'!O11,0)+AA54*'假设'!D47</x:f>
        <x:v>0</x:v>
      </x:c>
      <x:c r="AB56" s="8" t="n">
        <x:f>IF(AND(24&gt;='合同排期'!H11,24&lt;='合同排期'!I11),'合同排期'!N11/('合同排期'!I11-'合同排期'!H11+1),0)+IF(AND(24&gt;='合同排期'!J11,24&lt;'合同排期'!J11+12),'合同排期'!O11,0)+AB54*'假设'!D47</x:f>
        <x:v>0</x:v>
      </x:c>
    </x:row>
    <x:row r="57" ht="23" customHeight="1">
      <x:c r="A57" s="1"/>
      <x:c r="B57" s="1"/>
      <x:c r="C57" s="1" t="str">
        <x:v>P06</x:v>
      </x:c>
      <x:c r="D57" s="1" t="str">
        <x:v>工程交付人月</x:v>
      </x:c>
      <x:c r="E57" s="8" t="n">
        <x:f>IF(AND(1&gt;='合同排期'!H11,1&lt;='合同排期'!I11),'合同排期'!M11/('合同排期'!I11-'合同排期'!H11+1),0)</x:f>
        <x:v>0</x:v>
      </x:c>
      <x:c r="F57" s="8" t="n">
        <x:f>IF(AND(2&gt;='合同排期'!H11,2&lt;='合同排期'!I11),'合同排期'!M11/('合同排期'!I11-'合同排期'!H11+1),0)</x:f>
        <x:v>0</x:v>
      </x:c>
      <x:c r="G57" s="8" t="n">
        <x:f>IF(AND(3&gt;='合同排期'!H11,3&lt;='合同排期'!I11),'合同排期'!M11/('合同排期'!I11-'合同排期'!H11+1),0)</x:f>
        <x:v>0</x:v>
      </x:c>
      <x:c r="H57" s="8" t="n">
        <x:f>IF(AND(4&gt;='合同排期'!H11,4&lt;='合同排期'!I11),'合同排期'!M11/('合同排期'!I11-'合同排期'!H11+1),0)</x:f>
        <x:v>0</x:v>
      </x:c>
      <x:c r="I57" s="8" t="n">
        <x:f>IF(AND(5&gt;='合同排期'!H11,5&lt;='合同排期'!I11),'合同排期'!M11/('合同排期'!I11-'合同排期'!H11+1),0)</x:f>
        <x:v>0</x:v>
      </x:c>
      <x:c r="J57" s="8" t="n">
        <x:f>IF(AND(6&gt;='合同排期'!H11,6&lt;='合同排期'!I11),'合同排期'!M11/('合同排期'!I11-'合同排期'!H11+1),0)</x:f>
        <x:v>0</x:v>
      </x:c>
      <x:c r="K57" s="8" t="n">
        <x:f>IF(AND(7&gt;='合同排期'!H11,7&lt;='合同排期'!I11),'合同排期'!M11/('合同排期'!I11-'合同排期'!H11+1),0)</x:f>
        <x:v>0</x:v>
      </x:c>
      <x:c r="L57" s="8" t="n">
        <x:f>IF(AND(8&gt;='合同排期'!H11,8&lt;='合同排期'!I11),'合同排期'!M11/('合同排期'!I11-'合同排期'!H11+1),0)</x:f>
        <x:v>1.5</x:v>
      </x:c>
      <x:c r="M57" s="8" t="n">
        <x:f>IF(AND(9&gt;='合同排期'!H11,9&lt;='合同排期'!I11),'合同排期'!M11/('合同排期'!I11-'合同排期'!H11+1),0)</x:f>
        <x:v>1.5</x:v>
      </x:c>
      <x:c r="N57" s="8" t="n">
        <x:f>IF(AND(10&gt;='合同排期'!H11,10&lt;='合同排期'!I11),'合同排期'!M11/('合同排期'!I11-'合同排期'!H11+1),0)</x:f>
        <x:v>0</x:v>
      </x:c>
      <x:c r="O57" s="8" t="n">
        <x:f>IF(AND(11&gt;='合同排期'!H11,11&lt;='合同排期'!I11),'合同排期'!M11/('合同排期'!I11-'合同排期'!H11+1),0)</x:f>
        <x:v>0</x:v>
      </x:c>
      <x:c r="P57" s="8" t="n">
        <x:f>IF(AND(12&gt;='合同排期'!H11,12&lt;='合同排期'!I11),'合同排期'!M11/('合同排期'!I11-'合同排期'!H11+1),0)</x:f>
        <x:v>0</x:v>
      </x:c>
      <x:c r="Q57" s="8" t="n">
        <x:f>IF(AND(13&gt;='合同排期'!H11,13&lt;='合同排期'!I11),'合同排期'!M11/('合同排期'!I11-'合同排期'!H11+1),0)</x:f>
        <x:v>0</x:v>
      </x:c>
      <x:c r="R57" s="8" t="n">
        <x:f>IF(AND(14&gt;='合同排期'!H11,14&lt;='合同排期'!I11),'合同排期'!M11/('合同排期'!I11-'合同排期'!H11+1),0)</x:f>
        <x:v>0</x:v>
      </x:c>
      <x:c r="S57" s="8" t="n">
        <x:f>IF(AND(15&gt;='合同排期'!H11,15&lt;='合同排期'!I11),'合同排期'!M11/('合同排期'!I11-'合同排期'!H11+1),0)</x:f>
        <x:v>0</x:v>
      </x:c>
      <x:c r="T57" s="8" t="n">
        <x:f>IF(AND(16&gt;='合同排期'!H11,16&lt;='合同排期'!I11),'合同排期'!M11/('合同排期'!I11-'合同排期'!H11+1),0)</x:f>
        <x:v>0</x:v>
      </x:c>
      <x:c r="U57" s="8" t="n">
        <x:f>IF(AND(17&gt;='合同排期'!H11,17&lt;='合同排期'!I11),'合同排期'!M11/('合同排期'!I11-'合同排期'!H11+1),0)</x:f>
        <x:v>0</x:v>
      </x:c>
      <x:c r="V57" s="8" t="n">
        <x:f>IF(AND(18&gt;='合同排期'!H11,18&lt;='合同排期'!I11),'合同排期'!M11/('合同排期'!I11-'合同排期'!H11+1),0)</x:f>
        <x:v>0</x:v>
      </x:c>
      <x:c r="W57" s="8" t="n">
        <x:f>IF(AND(19&gt;='合同排期'!H11,19&lt;='合同排期'!I11),'合同排期'!M11/('合同排期'!I11-'合同排期'!H11+1),0)</x:f>
        <x:v>0</x:v>
      </x:c>
      <x:c r="X57" s="8" t="n">
        <x:f>IF(AND(20&gt;='合同排期'!H11,20&lt;='合同排期'!I11),'合同排期'!M11/('合同排期'!I11-'合同排期'!H11+1),0)</x:f>
        <x:v>0</x:v>
      </x:c>
      <x:c r="Y57" s="8" t="n">
        <x:f>IF(AND(21&gt;='合同排期'!H11,21&lt;='合同排期'!I11),'合同排期'!M11/('合同排期'!I11-'合同排期'!H11+1),0)</x:f>
        <x:v>0</x:v>
      </x:c>
      <x:c r="Z57" s="8" t="n">
        <x:f>IF(AND(22&gt;='合同排期'!H11,22&lt;='合同排期'!I11),'合同排期'!M11/('合同排期'!I11-'合同排期'!H11+1),0)</x:f>
        <x:v>0</x:v>
      </x:c>
      <x:c r="AA57" s="8" t="n">
        <x:f>IF(AND(23&gt;='合同排期'!H11,23&lt;='合同排期'!I11),'合同排期'!M11/('合同排期'!I11-'合同排期'!H11+1),0)</x:f>
        <x:v>0</x:v>
      </x:c>
      <x:c r="AB57" s="8" t="n">
        <x:f>IF(AND(24&gt;='合同排期'!H11,24&lt;='合同排期'!I11),'合同排期'!M11/('合同排期'!I11-'合同排期'!H11+1),0)</x:f>
        <x:v>0</x:v>
      </x:c>
    </x:row>
    <x:row r="58" ht="23" customHeight="1">
      <x:c r="A58" s="1"/>
      <x:c r="B58" s="1"/>
      <x:c r="C58" s="1" t="str">
        <x:v>P06</x:v>
      </x:c>
      <x:c r="D58" s="1" t="str">
        <x:v>生效ARR</x:v>
      </x:c>
      <x:c r="E58" s="8" t="n">
        <x:f>IF(AND(1&gt;='合同排期'!J11,1&lt;'合同排期'!J11+12),'合同排期'!L11,0)</x:f>
        <x:v>0</x:v>
      </x:c>
      <x:c r="F58" s="8" t="n">
        <x:f>IF(AND(2&gt;='合同排期'!J11,2&lt;'合同排期'!J11+12),'合同排期'!L11,0)</x:f>
        <x:v>0</x:v>
      </x:c>
      <x:c r="G58" s="8" t="n">
        <x:f>IF(AND(3&gt;='合同排期'!J11,3&lt;'合同排期'!J11+12),'合同排期'!L11,0)</x:f>
        <x:v>0</x:v>
      </x:c>
      <x:c r="H58" s="8" t="n">
        <x:f>IF(AND(4&gt;='合同排期'!J11,4&lt;'合同排期'!J11+12),'合同排期'!L11,0)</x:f>
        <x:v>0</x:v>
      </x:c>
      <x:c r="I58" s="8" t="n">
        <x:f>IF(AND(5&gt;='合同排期'!J11,5&lt;'合同排期'!J11+12),'合同排期'!L11,0)</x:f>
        <x:v>0</x:v>
      </x:c>
      <x:c r="J58" s="8" t="n">
        <x:f>IF(AND(6&gt;='合同排期'!J11,6&lt;'合同排期'!J11+12),'合同排期'!L11,0)</x:f>
        <x:v>0</x:v>
      </x:c>
      <x:c r="K58" s="8" t="n">
        <x:f>IF(AND(7&gt;='合同排期'!J11,7&lt;'合同排期'!J11+12),'合同排期'!L11,0)</x:f>
        <x:v>0</x:v>
      </x:c>
      <x:c r="L58" s="8" t="n">
        <x:f>IF(AND(8&gt;='合同排期'!J11,8&lt;'合同排期'!J11+12),'合同排期'!L11,0)</x:f>
        <x:v>0</x:v>
      </x:c>
      <x:c r="M58" s="8" t="n">
        <x:f>IF(AND(9&gt;='合同排期'!J11,9&lt;'合同排期'!J11+12),'合同排期'!L11,0)</x:f>
        <x:v>0</x:v>
      </x:c>
      <x:c r="N58" s="8" t="n">
        <x:f>IF(AND(10&gt;='合同排期'!J11,10&lt;'合同排期'!J11+12),'合同排期'!L11,0)</x:f>
        <x:v>0</x:v>
      </x:c>
      <x:c r="O58" s="8" t="n">
        <x:f>IF(AND(11&gt;='合同排期'!J11,11&lt;'合同排期'!J11+12),'合同排期'!L11,0)</x:f>
        <x:v>0</x:v>
      </x:c>
      <x:c r="P58" s="8" t="n">
        <x:f>IF(AND(12&gt;='合同排期'!J11,12&lt;'合同排期'!J11+12),'合同排期'!L11,0)</x:f>
        <x:v>0</x:v>
      </x:c>
      <x:c r="Q58" s="8" t="n">
        <x:f>IF(AND(13&gt;='合同排期'!J11,13&lt;'合同排期'!J11+12),'合同排期'!L11,0)</x:f>
        <x:v>0</x:v>
      </x:c>
      <x:c r="R58" s="8" t="n">
        <x:f>IF(AND(14&gt;='合同排期'!J11,14&lt;'合同排期'!J11+12),'合同排期'!L11,0)</x:f>
        <x:v>0</x:v>
      </x:c>
      <x:c r="S58" s="8" t="n">
        <x:f>IF(AND(15&gt;='合同排期'!J11,15&lt;'合同排期'!J11+12),'合同排期'!L11,0)</x:f>
        <x:v>0</x:v>
      </x:c>
      <x:c r="T58" s="8" t="n">
        <x:f>IF(AND(16&gt;='合同排期'!J11,16&lt;'合同排期'!J11+12),'合同排期'!L11,0)</x:f>
        <x:v>0</x:v>
      </x:c>
      <x:c r="U58" s="8" t="n">
        <x:f>IF(AND(17&gt;='合同排期'!J11,17&lt;'合同排期'!J11+12),'合同排期'!L11,0)</x:f>
        <x:v>0</x:v>
      </x:c>
      <x:c r="V58" s="8" t="n">
        <x:f>IF(AND(18&gt;='合同排期'!J11,18&lt;'合同排期'!J11+12),'合同排期'!L11,0)</x:f>
        <x:v>0</x:v>
      </x:c>
      <x:c r="W58" s="8" t="n">
        <x:f>IF(AND(19&gt;='合同排期'!J11,19&lt;'合同排期'!J11+12),'合同排期'!L11,0)</x:f>
        <x:v>0</x:v>
      </x:c>
      <x:c r="X58" s="8" t="n">
        <x:f>IF(AND(20&gt;='合同排期'!J11,20&lt;'合同排期'!J11+12),'合同排期'!L11,0)</x:f>
        <x:v>0</x:v>
      </x:c>
      <x:c r="Y58" s="8" t="n">
        <x:f>IF(AND(21&gt;='合同排期'!J11,21&lt;'合同排期'!J11+12),'合同排期'!L11,0)</x:f>
        <x:v>0</x:v>
      </x:c>
      <x:c r="Z58" s="8" t="n">
        <x:f>IF(AND(22&gt;='合同排期'!J11,22&lt;'合同排期'!J11+12),'合同排期'!L11,0)</x:f>
        <x:v>0</x:v>
      </x:c>
      <x:c r="AA58" s="8" t="n">
        <x:f>IF(AND(23&gt;='合同排期'!J11,23&lt;'合同排期'!J11+12),'合同排期'!L11,0)</x:f>
        <x:v>0</x:v>
      </x:c>
      <x:c r="AB58" s="8" t="n">
        <x:f>IF(AND(24&gt;='合同排期'!J11,24&lt;'合同排期'!J11+12),'合同排期'!L11,0)</x:f>
        <x:v>0</x:v>
      </x:c>
    </x:row>
    <x:row r="59" ht="23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  <x:c r="AA59" s="1"/>
      <x:c r="AB59" s="1"/>
    </x:row>
    <x:row r="60" ht="23" customHeight="1">
      <x:c r="A60" s="1"/>
      <x:c r="B60" s="1"/>
      <x:c r="C60" s="1" t="str">
        <x:v>P07</x:v>
      </x:c>
      <x:c r="D60" s="1" t="str">
        <x:v>净签约</x:v>
      </x:c>
      <x:c r="E60" s="8" t="n">
        <x:f>IF(1='合同排期'!H12,'合同排期'!K12+'合同排期'!L12,0)</x:f>
        <x:v>0</x:v>
      </x:c>
      <x:c r="F60" s="8" t="n">
        <x:f>IF(2='合同排期'!H12,'合同排期'!K12+'合同排期'!L12,0)</x:f>
        <x:v>0</x:v>
      </x:c>
      <x:c r="G60" s="8" t="n">
        <x:f>IF(3='合同排期'!H12,'合同排期'!K12+'合同排期'!L12,0)</x:f>
        <x:v>0</x:v>
      </x:c>
      <x:c r="H60" s="8" t="n">
        <x:f>IF(4='合同排期'!H12,'合同排期'!K12+'合同排期'!L12,0)</x:f>
        <x:v>0</x:v>
      </x:c>
      <x:c r="I60" s="8" t="n">
        <x:f>IF(5='合同排期'!H12,'合同排期'!K12+'合同排期'!L12,0)</x:f>
        <x:v>0</x:v>
      </x:c>
      <x:c r="J60" s="8" t="n">
        <x:f>IF(6='合同排期'!H12,'合同排期'!K12+'合同排期'!L12,0)</x:f>
        <x:v>0</x:v>
      </x:c>
      <x:c r="K60" s="8" t="n">
        <x:f>IF(7='合同排期'!H12,'合同排期'!K12+'合同排期'!L12,0)</x:f>
        <x:v>0</x:v>
      </x:c>
      <x:c r="L60" s="8" t="n">
        <x:f>IF(8='合同排期'!H12,'合同排期'!K12+'合同排期'!L12,0)</x:f>
        <x:v>0</x:v>
      </x:c>
      <x:c r="M60" s="8" t="n">
        <x:f>IF(9='合同排期'!H12,'合同排期'!K12+'合同排期'!L12,0)</x:f>
        <x:v>8</x:v>
      </x:c>
      <x:c r="N60" s="8" t="n">
        <x:f>IF(10='合同排期'!H12,'合同排期'!K12+'合同排期'!L12,0)</x:f>
        <x:v>0</x:v>
      </x:c>
      <x:c r="O60" s="8" t="n">
        <x:f>IF(11='合同排期'!H12,'合同排期'!K12+'合同排期'!L12,0)</x:f>
        <x:v>0</x:v>
      </x:c>
      <x:c r="P60" s="8" t="n">
        <x:f>IF(12='合同排期'!H12,'合同排期'!K12+'合同排期'!L12,0)</x:f>
        <x:v>0</x:v>
      </x:c>
      <x:c r="Q60" s="8" t="n">
        <x:f>IF(13='合同排期'!H12,'合同排期'!K12+'合同排期'!L12,0)</x:f>
        <x:v>0</x:v>
      </x:c>
      <x:c r="R60" s="8" t="n">
        <x:f>IF(14='合同排期'!H12,'合同排期'!K12+'合同排期'!L12,0)</x:f>
        <x:v>0</x:v>
      </x:c>
      <x:c r="S60" s="8" t="n">
        <x:f>IF(15='合同排期'!H12,'合同排期'!K12+'合同排期'!L12,0)</x:f>
        <x:v>0</x:v>
      </x:c>
      <x:c r="T60" s="8" t="n">
        <x:f>IF(16='合同排期'!H12,'合同排期'!K12+'合同排期'!L12,0)</x:f>
        <x:v>0</x:v>
      </x:c>
      <x:c r="U60" s="8" t="n">
        <x:f>IF(17='合同排期'!H12,'合同排期'!K12+'合同排期'!L12,0)</x:f>
        <x:v>0</x:v>
      </x:c>
      <x:c r="V60" s="8" t="n">
        <x:f>IF(18='合同排期'!H12,'合同排期'!K12+'合同排期'!L12,0)</x:f>
        <x:v>0</x:v>
      </x:c>
      <x:c r="W60" s="8" t="n">
        <x:f>IF(19='合同排期'!H12,'合同排期'!K12+'合同排期'!L12,0)</x:f>
        <x:v>0</x:v>
      </x:c>
      <x:c r="X60" s="8" t="n">
        <x:f>IF(20='合同排期'!H12,'合同排期'!K12+'合同排期'!L12,0)</x:f>
        <x:v>0</x:v>
      </x:c>
      <x:c r="Y60" s="8" t="n">
        <x:f>IF(21='合同排期'!H12,'合同排期'!K12+'合同排期'!L12,0)</x:f>
        <x:v>0</x:v>
      </x:c>
      <x:c r="Z60" s="8" t="n">
        <x:f>IF(22='合同排期'!H12,'合同排期'!K12+'合同排期'!L12,0)</x:f>
        <x:v>0</x:v>
      </x:c>
      <x:c r="AA60" s="8" t="n">
        <x:f>IF(23='合同排期'!H12,'合同排期'!K12+'合同排期'!L12,0)</x:f>
        <x:v>0</x:v>
      </x:c>
      <x:c r="AB60" s="8" t="n">
        <x:f>IF(24='合同排期'!H12,'合同排期'!K12+'合同排期'!L12,0)</x:f>
        <x:v>0</x:v>
      </x:c>
    </x:row>
    <x:row r="61" ht="23" customHeight="1">
      <x:c r="A61" s="1"/>
      <x:c r="B61" s="1"/>
      <x:c r="C61" s="1" t="str">
        <x:v>P07</x:v>
      </x:c>
      <x:c r="D61" s="1" t="str">
        <x:v>确认收入</x:v>
      </x:c>
      <x:c r="E61" s="8" t="n">
        <x:f>IF(1='合同排期'!I12,'合同排期'!K12,0)+IF(AND(1&gt;='合同排期'!J12,1&lt;'合同排期'!J12+12),'合同排期'!L12/12,0)</x:f>
        <x:v>0</x:v>
      </x:c>
      <x:c r="F61" s="8" t="n">
        <x:f>IF(2='合同排期'!I12,'合同排期'!K12,0)+IF(AND(2&gt;='合同排期'!J12,2&lt;'合同排期'!J12+12),'合同排期'!L12/12,0)</x:f>
        <x:v>0</x:v>
      </x:c>
      <x:c r="G61" s="8" t="n">
        <x:f>IF(3='合同排期'!I12,'合同排期'!K12,0)+IF(AND(3&gt;='合同排期'!J12,3&lt;'合同排期'!J12+12),'合同排期'!L12/12,0)</x:f>
        <x:v>0</x:v>
      </x:c>
      <x:c r="H61" s="8" t="n">
        <x:f>IF(4='合同排期'!I12,'合同排期'!K12,0)+IF(AND(4&gt;='合同排期'!J12,4&lt;'合同排期'!J12+12),'合同排期'!L12/12,0)</x:f>
        <x:v>0</x:v>
      </x:c>
      <x:c r="I61" s="8" t="n">
        <x:f>IF(5='合同排期'!I12,'合同排期'!K12,0)+IF(AND(5&gt;='合同排期'!J12,5&lt;'合同排期'!J12+12),'合同排期'!L12/12,0)</x:f>
        <x:v>0</x:v>
      </x:c>
      <x:c r="J61" s="8" t="n">
        <x:f>IF(6='合同排期'!I12,'合同排期'!K12,0)+IF(AND(6&gt;='合同排期'!J12,6&lt;'合同排期'!J12+12),'合同排期'!L12/12,0)</x:f>
        <x:v>0</x:v>
      </x:c>
      <x:c r="K61" s="8" t="n">
        <x:f>IF(7='合同排期'!I12,'合同排期'!K12,0)+IF(AND(7&gt;='合同排期'!J12,7&lt;'合同排期'!J12+12),'合同排期'!L12/12,0)</x:f>
        <x:v>0</x:v>
      </x:c>
      <x:c r="L61" s="8" t="n">
        <x:f>IF(8='合同排期'!I12,'合同排期'!K12,0)+IF(AND(8&gt;='合同排期'!J12,8&lt;'合同排期'!J12+12),'合同排期'!L12/12,0)</x:f>
        <x:v>0</x:v>
      </x:c>
      <x:c r="M61" s="8" t="n">
        <x:f>IF(9='合同排期'!I12,'合同排期'!K12,0)+IF(AND(9&gt;='合同排期'!J12,9&lt;'合同排期'!J12+12),'合同排期'!L12/12,0)</x:f>
        <x:v>0</x:v>
      </x:c>
      <x:c r="N61" s="8" t="n">
        <x:f>IF(10='合同排期'!I12,'合同排期'!K12,0)+IF(AND(10&gt;='合同排期'!J12,10&lt;'合同排期'!J12+12),'合同排期'!L12/12,0)</x:f>
        <x:v>8</x:v>
      </x:c>
      <x:c r="O61" s="8" t="n">
        <x:f>IF(11='合同排期'!I12,'合同排期'!K12,0)+IF(AND(11&gt;='合同排期'!J12,11&lt;'合同排期'!J12+12),'合同排期'!L12/12,0)</x:f>
        <x:v>0</x:v>
      </x:c>
      <x:c r="P61" s="8" t="n">
        <x:f>IF(12='合同排期'!I12,'合同排期'!K12,0)+IF(AND(12&gt;='合同排期'!J12,12&lt;'合同排期'!J12+12),'合同排期'!L12/12,0)</x:f>
        <x:v>0</x:v>
      </x:c>
      <x:c r="Q61" s="8" t="n">
        <x:f>IF(13='合同排期'!I12,'合同排期'!K12,0)+IF(AND(13&gt;='合同排期'!J12,13&lt;'合同排期'!J12+12),'合同排期'!L12/12,0)</x:f>
        <x:v>0</x:v>
      </x:c>
      <x:c r="R61" s="8" t="n">
        <x:f>IF(14='合同排期'!I12,'合同排期'!K12,0)+IF(AND(14&gt;='合同排期'!J12,14&lt;'合同排期'!J12+12),'合同排期'!L12/12,0)</x:f>
        <x:v>0</x:v>
      </x:c>
      <x:c r="S61" s="8" t="n">
        <x:f>IF(15='合同排期'!I12,'合同排期'!K12,0)+IF(AND(15&gt;='合同排期'!J12,15&lt;'合同排期'!J12+12),'合同排期'!L12/12,0)</x:f>
        <x:v>0</x:v>
      </x:c>
      <x:c r="T61" s="8" t="n">
        <x:f>IF(16='合同排期'!I12,'合同排期'!K12,0)+IF(AND(16&gt;='合同排期'!J12,16&lt;'合同排期'!J12+12),'合同排期'!L12/12,0)</x:f>
        <x:v>0</x:v>
      </x:c>
      <x:c r="U61" s="8" t="n">
        <x:f>IF(17='合同排期'!I12,'合同排期'!K12,0)+IF(AND(17&gt;='合同排期'!J12,17&lt;'合同排期'!J12+12),'合同排期'!L12/12,0)</x:f>
        <x:v>0</x:v>
      </x:c>
      <x:c r="V61" s="8" t="n">
        <x:f>IF(18='合同排期'!I12,'合同排期'!K12,0)+IF(AND(18&gt;='合同排期'!J12,18&lt;'合同排期'!J12+12),'合同排期'!L12/12,0)</x:f>
        <x:v>0</x:v>
      </x:c>
      <x:c r="W61" s="8" t="n">
        <x:f>IF(19='合同排期'!I12,'合同排期'!K12,0)+IF(AND(19&gt;='合同排期'!J12,19&lt;'合同排期'!J12+12),'合同排期'!L12/12,0)</x:f>
        <x:v>0</x:v>
      </x:c>
      <x:c r="X61" s="8" t="n">
        <x:f>IF(20='合同排期'!I12,'合同排期'!K12,0)+IF(AND(20&gt;='合同排期'!J12,20&lt;'合同排期'!J12+12),'合同排期'!L12/12,0)</x:f>
        <x:v>0</x:v>
      </x:c>
      <x:c r="Y61" s="8" t="n">
        <x:f>IF(21='合同排期'!I12,'合同排期'!K12,0)+IF(AND(21&gt;='合同排期'!J12,21&lt;'合同排期'!J12+12),'合同排期'!L12/12,0)</x:f>
        <x:v>0</x:v>
      </x:c>
      <x:c r="Z61" s="8" t="n">
        <x:f>IF(22='合同排期'!I12,'合同排期'!K12,0)+IF(AND(22&gt;='合同排期'!J12,22&lt;'合同排期'!J12+12),'合同排期'!L12/12,0)</x:f>
        <x:v>0</x:v>
      </x:c>
      <x:c r="AA61" s="8" t="n">
        <x:f>IF(23='合同排期'!I12,'合同排期'!K12,0)+IF(AND(23&gt;='合同排期'!J12,23&lt;'合同排期'!J12+12),'合同排期'!L12/12,0)</x:f>
        <x:v>0</x:v>
      </x:c>
      <x:c r="AB61" s="8" t="n">
        <x:f>IF(24='合同排期'!I12,'合同排期'!K12,0)+IF(AND(24&gt;='合同排期'!J12,24&lt;'合同排期'!J12+12),'合同排期'!L12/12,0)</x:f>
        <x:v>0</x:v>
      </x:c>
    </x:row>
    <x:row r="62" ht="23" customHeight="1">
      <x:c r="A62" s="1"/>
      <x:c r="B62" s="1"/>
      <x:c r="C62" s="1" t="str">
        <x:v>P07</x:v>
      </x:c>
      <x:c r="D62" s="1" t="str">
        <x:v>开票</x:v>
      </x:c>
      <x:c r="E62" s="8" t="n">
        <x:f>IF(1='合同排期'!H12,'合同排期'!K12*'合同排期'!P12,0)+IF(1='合同排期'!S12,'合同排期'!K12*'合同排期'!Q12,0)+IF(1='合同排期'!I12,'合同排期'!K12*'合同排期'!R12,0)+IF(1='合同排期'!J12,'合同排期'!L12,0)</x:f>
        <x:v>0</x:v>
      </x:c>
      <x:c r="F62" s="8" t="n">
        <x:f>IF(2='合同排期'!H12,'合同排期'!K12*'合同排期'!P12,0)+IF(2='合同排期'!S12,'合同排期'!K12*'合同排期'!Q12,0)+IF(2='合同排期'!I12,'合同排期'!K12*'合同排期'!R12,0)+IF(2='合同排期'!J12,'合同排期'!L12,0)</x:f>
        <x:v>0</x:v>
      </x:c>
      <x:c r="G62" s="8" t="n">
        <x:f>IF(3='合同排期'!H12,'合同排期'!K12*'合同排期'!P12,0)+IF(3='合同排期'!S12,'合同排期'!K12*'合同排期'!Q12,0)+IF(3='合同排期'!I12,'合同排期'!K12*'合同排期'!R12,0)+IF(3='合同排期'!J12,'合同排期'!L12,0)</x:f>
        <x:v>0</x:v>
      </x:c>
      <x:c r="H62" s="8" t="n">
        <x:f>IF(4='合同排期'!H12,'合同排期'!K12*'合同排期'!P12,0)+IF(4='合同排期'!S12,'合同排期'!K12*'合同排期'!Q12,0)+IF(4='合同排期'!I12,'合同排期'!K12*'合同排期'!R12,0)+IF(4='合同排期'!J12,'合同排期'!L12,0)</x:f>
        <x:v>0</x:v>
      </x:c>
      <x:c r="I62" s="8" t="n">
        <x:f>IF(5='合同排期'!H12,'合同排期'!K12*'合同排期'!P12,0)+IF(5='合同排期'!S12,'合同排期'!K12*'合同排期'!Q12,0)+IF(5='合同排期'!I12,'合同排期'!K12*'合同排期'!R12,0)+IF(5='合同排期'!J12,'合同排期'!L12,0)</x:f>
        <x:v>0</x:v>
      </x:c>
      <x:c r="J62" s="8" t="n">
        <x:f>IF(6='合同排期'!H12,'合同排期'!K12*'合同排期'!P12,0)+IF(6='合同排期'!S12,'合同排期'!K12*'合同排期'!Q12,0)+IF(6='合同排期'!I12,'合同排期'!K12*'合同排期'!R12,0)+IF(6='合同排期'!J12,'合同排期'!L12,0)</x:f>
        <x:v>0</x:v>
      </x:c>
      <x:c r="K62" s="8" t="n">
        <x:f>IF(7='合同排期'!H12,'合同排期'!K12*'合同排期'!P12,0)+IF(7='合同排期'!S12,'合同排期'!K12*'合同排期'!Q12,0)+IF(7='合同排期'!I12,'合同排期'!K12*'合同排期'!R12,0)+IF(7='合同排期'!J12,'合同排期'!L12,0)</x:f>
        <x:v>0</x:v>
      </x:c>
      <x:c r="L62" s="8" t="n">
        <x:f>IF(8='合同排期'!H12,'合同排期'!K12*'合同排期'!P12,0)+IF(8='合同排期'!S12,'合同排期'!K12*'合同排期'!Q12,0)+IF(8='合同排期'!I12,'合同排期'!K12*'合同排期'!R12,0)+IF(8='合同排期'!J12,'合同排期'!L12,0)</x:f>
        <x:v>0</x:v>
      </x:c>
      <x:c r="M62" s="8" t="n">
        <x:f>IF(9='合同排期'!H12,'合同排期'!K12*'合同排期'!P12,0)+IF(9='合同排期'!S12,'合同排期'!K12*'合同排期'!Q12,0)+IF(9='合同排期'!I12,'合同排期'!K12*'合同排期'!R12,0)+IF(9='合同排期'!J12,'合同排期'!L12,0)</x:f>
        <x:v>2.4</x:v>
      </x:c>
      <x:c r="N62" s="8" t="n">
        <x:f>IF(10='合同排期'!H12,'合同排期'!K12*'合同排期'!P12,0)+IF(10='合同排期'!S12,'合同排期'!K12*'合同排期'!Q12,0)+IF(10='合同排期'!I12,'合同排期'!K12*'合同排期'!R12,0)+IF(10='合同排期'!J12,'合同排期'!L12,0)</x:f>
        <x:v>5.6</x:v>
      </x:c>
      <x:c r="O62" s="8" t="n">
        <x:f>IF(11='合同排期'!H12,'合同排期'!K12*'合同排期'!P12,0)+IF(11='合同排期'!S12,'合同排期'!K12*'合同排期'!Q12,0)+IF(11='合同排期'!I12,'合同排期'!K12*'合同排期'!R12,0)+IF(11='合同排期'!J12,'合同排期'!L12,0)</x:f>
        <x:v>0</x:v>
      </x:c>
      <x:c r="P62" s="8" t="n">
        <x:f>IF(12='合同排期'!H12,'合同排期'!K12*'合同排期'!P12,0)+IF(12='合同排期'!S12,'合同排期'!K12*'合同排期'!Q12,0)+IF(12='合同排期'!I12,'合同排期'!K12*'合同排期'!R12,0)+IF(12='合同排期'!J12,'合同排期'!L12,0)</x:f>
        <x:v>0</x:v>
      </x:c>
      <x:c r="Q62" s="8" t="n">
        <x:f>IF(13='合同排期'!H12,'合同排期'!K12*'合同排期'!P12,0)+IF(13='合同排期'!S12,'合同排期'!K12*'合同排期'!Q12,0)+IF(13='合同排期'!I12,'合同排期'!K12*'合同排期'!R12,0)+IF(13='合同排期'!J12,'合同排期'!L12,0)</x:f>
        <x:v>0</x:v>
      </x:c>
      <x:c r="R62" s="8" t="n">
        <x:f>IF(14='合同排期'!H12,'合同排期'!K12*'合同排期'!P12,0)+IF(14='合同排期'!S12,'合同排期'!K12*'合同排期'!Q12,0)+IF(14='合同排期'!I12,'合同排期'!K12*'合同排期'!R12,0)+IF(14='合同排期'!J12,'合同排期'!L12,0)</x:f>
        <x:v>0</x:v>
      </x:c>
      <x:c r="S62" s="8" t="n">
        <x:f>IF(15='合同排期'!H12,'合同排期'!K12*'合同排期'!P12,0)+IF(15='合同排期'!S12,'合同排期'!K12*'合同排期'!Q12,0)+IF(15='合同排期'!I12,'合同排期'!K12*'合同排期'!R12,0)+IF(15='合同排期'!J12,'合同排期'!L12,0)</x:f>
        <x:v>0</x:v>
      </x:c>
      <x:c r="T62" s="8" t="n">
        <x:f>IF(16='合同排期'!H12,'合同排期'!K12*'合同排期'!P12,0)+IF(16='合同排期'!S12,'合同排期'!K12*'合同排期'!Q12,0)+IF(16='合同排期'!I12,'合同排期'!K12*'合同排期'!R12,0)+IF(16='合同排期'!J12,'合同排期'!L12,0)</x:f>
        <x:v>0</x:v>
      </x:c>
      <x:c r="U62" s="8" t="n">
        <x:f>IF(17='合同排期'!H12,'合同排期'!K12*'合同排期'!P12,0)+IF(17='合同排期'!S12,'合同排期'!K12*'合同排期'!Q12,0)+IF(17='合同排期'!I12,'合同排期'!K12*'合同排期'!R12,0)+IF(17='合同排期'!J12,'合同排期'!L12,0)</x:f>
        <x:v>0</x:v>
      </x:c>
      <x:c r="V62" s="8" t="n">
        <x:f>IF(18='合同排期'!H12,'合同排期'!K12*'合同排期'!P12,0)+IF(18='合同排期'!S12,'合同排期'!K12*'合同排期'!Q12,0)+IF(18='合同排期'!I12,'合同排期'!K12*'合同排期'!R12,0)+IF(18='合同排期'!J12,'合同排期'!L12,0)</x:f>
        <x:v>0</x:v>
      </x:c>
      <x:c r="W62" s="8" t="n">
        <x:f>IF(19='合同排期'!H12,'合同排期'!K12*'合同排期'!P12,0)+IF(19='合同排期'!S12,'合同排期'!K12*'合同排期'!Q12,0)+IF(19='合同排期'!I12,'合同排期'!K12*'合同排期'!R12,0)+IF(19='合同排期'!J12,'合同排期'!L12,0)</x:f>
        <x:v>0</x:v>
      </x:c>
      <x:c r="X62" s="8" t="n">
        <x:f>IF(20='合同排期'!H12,'合同排期'!K12*'合同排期'!P12,0)+IF(20='合同排期'!S12,'合同排期'!K12*'合同排期'!Q12,0)+IF(20='合同排期'!I12,'合同排期'!K12*'合同排期'!R12,0)+IF(20='合同排期'!J12,'合同排期'!L12,0)</x:f>
        <x:v>0</x:v>
      </x:c>
      <x:c r="Y62" s="8" t="n">
        <x:f>IF(21='合同排期'!H12,'合同排期'!K12*'合同排期'!P12,0)+IF(21='合同排期'!S12,'合同排期'!K12*'合同排期'!Q12,0)+IF(21='合同排期'!I12,'合同排期'!K12*'合同排期'!R12,0)+IF(21='合同排期'!J12,'合同排期'!L12,0)</x:f>
        <x:v>0</x:v>
      </x:c>
      <x:c r="Z62" s="8" t="n">
        <x:f>IF(22='合同排期'!H12,'合同排期'!K12*'合同排期'!P12,0)+IF(22='合同排期'!S12,'合同排期'!K12*'合同排期'!Q12,0)+IF(22='合同排期'!I12,'合同排期'!K12*'合同排期'!R12,0)+IF(22='合同排期'!J12,'合同排期'!L12,0)</x:f>
        <x:v>0</x:v>
      </x:c>
      <x:c r="AA62" s="8" t="n">
        <x:f>IF(23='合同排期'!H12,'合同排期'!K12*'合同排期'!P12,0)+IF(23='合同排期'!S12,'合同排期'!K12*'合同排期'!Q12,0)+IF(23='合同排期'!I12,'合同排期'!K12*'合同排期'!R12,0)+IF(23='合同排期'!J12,'合同排期'!L12,0)</x:f>
        <x:v>0</x:v>
      </x:c>
      <x:c r="AB62" s="8" t="n">
        <x:f>IF(24='合同排期'!H12,'合同排期'!K12*'合同排期'!P12,0)+IF(24='合同排期'!S12,'合同排期'!K12*'合同排期'!Q12,0)+IF(24='合同排期'!I12,'合同排期'!K12*'合同排期'!R12,0)+IF(24='合同排期'!J12,'合同排期'!L12,0)</x:f>
        <x:v>0</x:v>
      </x:c>
    </x:row>
    <x:row r="63" ht="23" customHeight="1">
      <x:c r="A63" s="1"/>
      <x:c r="B63" s="1"/>
      <x:c r="C63" s="1" t="str">
        <x:v>P07</x:v>
      </x:c>
      <x:c r="D63" s="1" t="str">
        <x:v>回款</x:v>
      </x:c>
      <x:c r="E63" s="8" t="n">
        <x:f>IF(1&gt;'假设'!D27,INDEX($E62:$AB62,1,1-'假设'!D27),0)</x:f>
        <x:v>0</x:v>
      </x:c>
      <x:c r="F63" s="8" t="n">
        <x:f>IF(2&gt;'假设'!D27,INDEX($E62:$AB62,1,2-'假设'!D27),0)</x:f>
        <x:v>0</x:v>
      </x:c>
      <x:c r="G63" s="8" t="n">
        <x:f>IF(3&gt;'假设'!D27,INDEX($E62:$AB62,1,3-'假设'!D27),0)</x:f>
        <x:v>0</x:v>
      </x:c>
      <x:c r="H63" s="8" t="n">
        <x:f>IF(4&gt;'假设'!D27,INDEX($E62:$AB62,1,4-'假设'!D27),0)</x:f>
        <x:v>0</x:v>
      </x:c>
      <x:c r="I63" s="8" t="n">
        <x:f>IF(5&gt;'假设'!D27,INDEX($E62:$AB62,1,5-'假设'!D27),0)</x:f>
        <x:v>0</x:v>
      </x:c>
      <x:c r="J63" s="8" t="n">
        <x:f>IF(6&gt;'假设'!D27,INDEX($E62:$AB62,1,6-'假设'!D27),0)</x:f>
        <x:v>0</x:v>
      </x:c>
      <x:c r="K63" s="8" t="n">
        <x:f>IF(7&gt;'假设'!D27,INDEX($E62:$AB62,1,7-'假设'!D27),0)</x:f>
        <x:v>0</x:v>
      </x:c>
      <x:c r="L63" s="8" t="n">
        <x:f>IF(8&gt;'假设'!D27,INDEX($E62:$AB62,1,8-'假设'!D27),0)</x:f>
        <x:v>0</x:v>
      </x:c>
      <x:c r="M63" s="8" t="n">
        <x:f>IF(9&gt;'假设'!D27,INDEX($E62:$AB62,1,9-'假设'!D27),0)</x:f>
        <x:v>0</x:v>
      </x:c>
      <x:c r="N63" s="8" t="n">
        <x:f>IF(10&gt;'假设'!D27,INDEX($E62:$AB62,1,10-'假设'!D27),0)</x:f>
        <x:v>2.4</x:v>
      </x:c>
      <x:c r="O63" s="8" t="n">
        <x:f>IF(11&gt;'假设'!D27,INDEX($E62:$AB62,1,11-'假设'!D27),0)</x:f>
        <x:v>5.6</x:v>
      </x:c>
      <x:c r="P63" s="8" t="n">
        <x:f>IF(12&gt;'假设'!D27,INDEX($E62:$AB62,1,12-'假设'!D27),0)</x:f>
        <x:v>0</x:v>
      </x:c>
      <x:c r="Q63" s="8" t="n">
        <x:f>IF(13&gt;'假设'!D27,INDEX($E62:$AB62,1,13-'假设'!D27),0)</x:f>
        <x:v>0</x:v>
      </x:c>
      <x:c r="R63" s="8" t="n">
        <x:f>IF(14&gt;'假设'!D27,INDEX($E62:$AB62,1,14-'假设'!D27),0)</x:f>
        <x:v>0</x:v>
      </x:c>
      <x:c r="S63" s="8" t="n">
        <x:f>IF(15&gt;'假设'!D27,INDEX($E62:$AB62,1,15-'假设'!D27),0)</x:f>
        <x:v>0</x:v>
      </x:c>
      <x:c r="T63" s="8" t="n">
        <x:f>IF(16&gt;'假设'!D27,INDEX($E62:$AB62,1,16-'假设'!D27),0)</x:f>
        <x:v>0</x:v>
      </x:c>
      <x:c r="U63" s="8" t="n">
        <x:f>IF(17&gt;'假设'!D27,INDEX($E62:$AB62,1,17-'假设'!D27),0)</x:f>
        <x:v>0</x:v>
      </x:c>
      <x:c r="V63" s="8" t="n">
        <x:f>IF(18&gt;'假设'!D27,INDEX($E62:$AB62,1,18-'假设'!D27),0)</x:f>
        <x:v>0</x:v>
      </x:c>
      <x:c r="W63" s="8" t="n">
        <x:f>IF(19&gt;'假设'!D27,INDEX($E62:$AB62,1,19-'假设'!D27),0)</x:f>
        <x:v>0</x:v>
      </x:c>
      <x:c r="X63" s="8" t="n">
        <x:f>IF(20&gt;'假设'!D27,INDEX($E62:$AB62,1,20-'假设'!D27),0)</x:f>
        <x:v>0</x:v>
      </x:c>
      <x:c r="Y63" s="8" t="n">
        <x:f>IF(21&gt;'假设'!D27,INDEX($E62:$AB62,1,21-'假设'!D27),0)</x:f>
        <x:v>0</x:v>
      </x:c>
      <x:c r="Z63" s="8" t="n">
        <x:f>IF(22&gt;'假设'!D27,INDEX($E62:$AB62,1,22-'假设'!D27),0)</x:f>
        <x:v>0</x:v>
      </x:c>
      <x:c r="AA63" s="8" t="n">
        <x:f>IF(23&gt;'假设'!D27,INDEX($E62:$AB62,1,23-'假设'!D27),0)</x:f>
        <x:v>0</x:v>
      </x:c>
      <x:c r="AB63" s="8" t="n">
        <x:f>IF(24&gt;'假设'!D27,INDEX($E62:$AB62,1,24-'假设'!D27),0)</x:f>
        <x:v>0</x:v>
      </x:c>
    </x:row>
    <x:row r="64" ht="23" customHeight="1">
      <x:c r="A64" s="1"/>
      <x:c r="B64" s="1"/>
      <x:c r="C64" s="1" t="str">
        <x:v>P07</x:v>
      </x:c>
      <x:c r="D64" s="1" t="str">
        <x:v>直接损益成本</x:v>
      </x:c>
      <x:c r="E64" s="8" t="n">
        <x:f>IF(1='合同排期'!I12,'合同排期'!N12,0)+IF(AND(1&gt;='合同排期'!J12,1&lt;'合同排期'!J12+12),'合同排期'!O12,0)+E60*'假设'!D47</x:f>
        <x:v>0</x:v>
      </x:c>
      <x:c r="F64" s="8" t="n">
        <x:f>IF(2='合同排期'!I12,'合同排期'!N12,0)+IF(AND(2&gt;='合同排期'!J12,2&lt;'合同排期'!J12+12),'合同排期'!O12,0)+F60*'假设'!D47</x:f>
        <x:v>0</x:v>
      </x:c>
      <x:c r="G64" s="8" t="n">
        <x:f>IF(3='合同排期'!I12,'合同排期'!N12,0)+IF(AND(3&gt;='合同排期'!J12,3&lt;'合同排期'!J12+12),'合同排期'!O12,0)+G60*'假设'!D47</x:f>
        <x:v>0</x:v>
      </x:c>
      <x:c r="H64" s="8" t="n">
        <x:f>IF(4='合同排期'!I12,'合同排期'!N12,0)+IF(AND(4&gt;='合同排期'!J12,4&lt;'合同排期'!J12+12),'合同排期'!O12,0)+H60*'假设'!D47</x:f>
        <x:v>0</x:v>
      </x:c>
      <x:c r="I64" s="8" t="n">
        <x:f>IF(5='合同排期'!I12,'合同排期'!N12,0)+IF(AND(5&gt;='合同排期'!J12,5&lt;'合同排期'!J12+12),'合同排期'!O12,0)+I60*'假设'!D47</x:f>
        <x:v>0</x:v>
      </x:c>
      <x:c r="J64" s="8" t="n">
        <x:f>IF(6='合同排期'!I12,'合同排期'!N12,0)+IF(AND(6&gt;='合同排期'!J12,6&lt;'合同排期'!J12+12),'合同排期'!O12,0)+J60*'假设'!D47</x:f>
        <x:v>0</x:v>
      </x:c>
      <x:c r="K64" s="8" t="n">
        <x:f>IF(7='合同排期'!I12,'合同排期'!N12,0)+IF(AND(7&gt;='合同排期'!J12,7&lt;'合同排期'!J12+12),'合同排期'!O12,0)+K60*'假设'!D47</x:f>
        <x:v>0</x:v>
      </x:c>
      <x:c r="L64" s="8" t="n">
        <x:f>IF(8='合同排期'!I12,'合同排期'!N12,0)+IF(AND(8&gt;='合同排期'!J12,8&lt;'合同排期'!J12+12),'合同排期'!O12,0)+L60*'假设'!D47</x:f>
        <x:v>0</x:v>
      </x:c>
      <x:c r="M64" s="8" t="n">
        <x:f>IF(9='合同排期'!I12,'合同排期'!N12,0)+IF(AND(9&gt;='合同排期'!J12,9&lt;'合同排期'!J12+12),'合同排期'!O12,0)+M60*'假设'!D47</x:f>
        <x:v>0.4</x:v>
      </x:c>
      <x:c r="N64" s="8" t="n">
        <x:f>IF(10='合同排期'!I12,'合同排期'!N12,0)+IF(AND(10&gt;='合同排期'!J12,10&lt;'合同排期'!J12+12),'合同排期'!O12,0)+N60*'假设'!D47</x:f>
        <x:v>3.7</x:v>
      </x:c>
      <x:c r="O64" s="8" t="n">
        <x:f>IF(11='合同排期'!I12,'合同排期'!N12,0)+IF(AND(11&gt;='合同排期'!J12,11&lt;'合同排期'!J12+12),'合同排期'!O12,0)+O60*'假设'!D47</x:f>
        <x:v>0</x:v>
      </x:c>
      <x:c r="P64" s="8" t="n">
        <x:f>IF(12='合同排期'!I12,'合同排期'!N12,0)+IF(AND(12&gt;='合同排期'!J12,12&lt;'合同排期'!J12+12),'合同排期'!O12,0)+P60*'假设'!D47</x:f>
        <x:v>0</x:v>
      </x:c>
      <x:c r="Q64" s="8" t="n">
        <x:f>IF(13='合同排期'!I12,'合同排期'!N12,0)+IF(AND(13&gt;='合同排期'!J12,13&lt;'合同排期'!J12+12),'合同排期'!O12,0)+Q60*'假设'!D47</x:f>
        <x:v>0</x:v>
      </x:c>
      <x:c r="R64" s="8" t="n">
        <x:f>IF(14='合同排期'!I12,'合同排期'!N12,0)+IF(AND(14&gt;='合同排期'!J12,14&lt;'合同排期'!J12+12),'合同排期'!O12,0)+R60*'假设'!D47</x:f>
        <x:v>0</x:v>
      </x:c>
      <x:c r="S64" s="8" t="n">
        <x:f>IF(15='合同排期'!I12,'合同排期'!N12,0)+IF(AND(15&gt;='合同排期'!J12,15&lt;'合同排期'!J12+12),'合同排期'!O12,0)+S60*'假设'!D47</x:f>
        <x:v>0</x:v>
      </x:c>
      <x:c r="T64" s="8" t="n">
        <x:f>IF(16='合同排期'!I12,'合同排期'!N12,0)+IF(AND(16&gt;='合同排期'!J12,16&lt;'合同排期'!J12+12),'合同排期'!O12,0)+T60*'假设'!D47</x:f>
        <x:v>0</x:v>
      </x:c>
      <x:c r="U64" s="8" t="n">
        <x:f>IF(17='合同排期'!I12,'合同排期'!N12,0)+IF(AND(17&gt;='合同排期'!J12,17&lt;'合同排期'!J12+12),'合同排期'!O12,0)+U60*'假设'!D47</x:f>
        <x:v>0</x:v>
      </x:c>
      <x:c r="V64" s="8" t="n">
        <x:f>IF(18='合同排期'!I12,'合同排期'!N12,0)+IF(AND(18&gt;='合同排期'!J12,18&lt;'合同排期'!J12+12),'合同排期'!O12,0)+V60*'假设'!D47</x:f>
        <x:v>0</x:v>
      </x:c>
      <x:c r="W64" s="8" t="n">
        <x:f>IF(19='合同排期'!I12,'合同排期'!N12,0)+IF(AND(19&gt;='合同排期'!J12,19&lt;'合同排期'!J12+12),'合同排期'!O12,0)+W60*'假设'!D47</x:f>
        <x:v>0</x:v>
      </x:c>
      <x:c r="X64" s="8" t="n">
        <x:f>IF(20='合同排期'!I12,'合同排期'!N12,0)+IF(AND(20&gt;='合同排期'!J12,20&lt;'合同排期'!J12+12),'合同排期'!O12,0)+X60*'假设'!D47</x:f>
        <x:v>0</x:v>
      </x:c>
      <x:c r="Y64" s="8" t="n">
        <x:f>IF(21='合同排期'!I12,'合同排期'!N12,0)+IF(AND(21&gt;='合同排期'!J12,21&lt;'合同排期'!J12+12),'合同排期'!O12,0)+Y60*'假设'!D47</x:f>
        <x:v>0</x:v>
      </x:c>
      <x:c r="Z64" s="8" t="n">
        <x:f>IF(22='合同排期'!I12,'合同排期'!N12,0)+IF(AND(22&gt;='合同排期'!J12,22&lt;'合同排期'!J12+12),'合同排期'!O12,0)+Z60*'假设'!D47</x:f>
        <x:v>0</x:v>
      </x:c>
      <x:c r="AA64" s="8" t="n">
        <x:f>IF(23='合同排期'!I12,'合同排期'!N12,0)+IF(AND(23&gt;='合同排期'!J12,23&lt;'合同排期'!J12+12),'合同排期'!O12,0)+AA60*'假设'!D47</x:f>
        <x:v>0</x:v>
      </x:c>
      <x:c r="AB64" s="8" t="n">
        <x:f>IF(24='合同排期'!I12,'合同排期'!N12,0)+IF(AND(24&gt;='合同排期'!J12,24&lt;'合同排期'!J12+12),'合同排期'!O12,0)+AB60*'假设'!D47</x:f>
        <x:v>0</x:v>
      </x:c>
    </x:row>
    <x:row r="65" ht="23" customHeight="1">
      <x:c r="A65" s="1"/>
      <x:c r="B65" s="1"/>
      <x:c r="C65" s="1" t="str">
        <x:v>P07</x:v>
      </x:c>
      <x:c r="D65" s="1" t="str">
        <x:v>直接现金成本</x:v>
      </x:c>
      <x:c r="E65" s="8" t="n">
        <x:f>IF(AND(1&gt;='合同排期'!H12,1&lt;='合同排期'!I12),'合同排期'!N12/('合同排期'!I12-'合同排期'!H12+1),0)+IF(AND(1&gt;='合同排期'!J12,1&lt;'合同排期'!J12+12),'合同排期'!O12,0)+E63*'假设'!D47</x:f>
        <x:v>0</x:v>
      </x:c>
      <x:c r="F65" s="8" t="n">
        <x:f>IF(AND(2&gt;='合同排期'!H12,2&lt;='合同排期'!I12),'合同排期'!N12/('合同排期'!I12-'合同排期'!H12+1),0)+IF(AND(2&gt;='合同排期'!J12,2&lt;'合同排期'!J12+12),'合同排期'!O12,0)+F63*'假设'!D47</x:f>
        <x:v>0</x:v>
      </x:c>
      <x:c r="G65" s="8" t="n">
        <x:f>IF(AND(3&gt;='合同排期'!H12,3&lt;='合同排期'!I12),'合同排期'!N12/('合同排期'!I12-'合同排期'!H12+1),0)+IF(AND(3&gt;='合同排期'!J12,3&lt;'合同排期'!J12+12),'合同排期'!O12,0)+G63*'假设'!D47</x:f>
        <x:v>0</x:v>
      </x:c>
      <x:c r="H65" s="8" t="n">
        <x:f>IF(AND(4&gt;='合同排期'!H12,4&lt;='合同排期'!I12),'合同排期'!N12/('合同排期'!I12-'合同排期'!H12+1),0)+IF(AND(4&gt;='合同排期'!J12,4&lt;'合同排期'!J12+12),'合同排期'!O12,0)+H63*'假设'!D47</x:f>
        <x:v>0</x:v>
      </x:c>
      <x:c r="I65" s="8" t="n">
        <x:f>IF(AND(5&gt;='合同排期'!H12,5&lt;='合同排期'!I12),'合同排期'!N12/('合同排期'!I12-'合同排期'!H12+1),0)+IF(AND(5&gt;='合同排期'!J12,5&lt;'合同排期'!J12+12),'合同排期'!O12,0)+I63*'假设'!D47</x:f>
        <x:v>0</x:v>
      </x:c>
      <x:c r="J65" s="8" t="n">
        <x:f>IF(AND(6&gt;='合同排期'!H12,6&lt;='合同排期'!I12),'合同排期'!N12/('合同排期'!I12-'合同排期'!H12+1),0)+IF(AND(6&gt;='合同排期'!J12,6&lt;'合同排期'!J12+12),'合同排期'!O12,0)+J63*'假设'!D47</x:f>
        <x:v>0</x:v>
      </x:c>
      <x:c r="K65" s="8" t="n">
        <x:f>IF(AND(7&gt;='合同排期'!H12,7&lt;='合同排期'!I12),'合同排期'!N12/('合同排期'!I12-'合同排期'!H12+1),0)+IF(AND(7&gt;='合同排期'!J12,7&lt;'合同排期'!J12+12),'合同排期'!O12,0)+K63*'假设'!D47</x:f>
        <x:v>0</x:v>
      </x:c>
      <x:c r="L65" s="8" t="n">
        <x:f>IF(AND(8&gt;='合同排期'!H12,8&lt;='合同排期'!I12),'合同排期'!N12/('合同排期'!I12-'合同排期'!H12+1),0)+IF(AND(8&gt;='合同排期'!J12,8&lt;'合同排期'!J12+12),'合同排期'!O12,0)+L63*'假设'!D47</x:f>
        <x:v>0</x:v>
      </x:c>
      <x:c r="M65" s="8" t="n">
        <x:f>IF(AND(9&gt;='合同排期'!H12,9&lt;='合同排期'!I12),'合同排期'!N12/('合同排期'!I12-'合同排期'!H12+1),0)+IF(AND(9&gt;='合同排期'!J12,9&lt;'合同排期'!J12+12),'合同排期'!O12,0)+M63*'假设'!D47</x:f>
        <x:v>1.85</x:v>
      </x:c>
      <x:c r="N65" s="8" t="n">
        <x:f>IF(AND(10&gt;='合同排期'!H12,10&lt;='合同排期'!I12),'合同排期'!N12/('合同排期'!I12-'合同排期'!H12+1),0)+IF(AND(10&gt;='合同排期'!J12,10&lt;'合同排期'!J12+12),'合同排期'!O12,0)+N63*'假设'!D47</x:f>
        <x:v>1.9700000000000002</x:v>
      </x:c>
      <x:c r="O65" s="8" t="n">
        <x:f>IF(AND(11&gt;='合同排期'!H12,11&lt;='合同排期'!I12),'合同排期'!N12/('合同排期'!I12-'合同排期'!H12+1),0)+IF(AND(11&gt;='合同排期'!J12,11&lt;'合同排期'!J12+12),'合同排期'!O12,0)+O63*'假设'!D47</x:f>
        <x:v>0.27999999999999997</x:v>
      </x:c>
      <x:c r="P65" s="8" t="n">
        <x:f>IF(AND(12&gt;='合同排期'!H12,12&lt;='合同排期'!I12),'合同排期'!N12/('合同排期'!I12-'合同排期'!H12+1),0)+IF(AND(12&gt;='合同排期'!J12,12&lt;'合同排期'!J12+12),'合同排期'!O12,0)+P63*'假设'!D47</x:f>
        <x:v>0</x:v>
      </x:c>
      <x:c r="Q65" s="8" t="n">
        <x:f>IF(AND(13&gt;='合同排期'!H12,13&lt;='合同排期'!I12),'合同排期'!N12/('合同排期'!I12-'合同排期'!H12+1),0)+IF(AND(13&gt;='合同排期'!J12,13&lt;'合同排期'!J12+12),'合同排期'!O12,0)+Q63*'假设'!D47</x:f>
        <x:v>0</x:v>
      </x:c>
      <x:c r="R65" s="8" t="n">
        <x:f>IF(AND(14&gt;='合同排期'!H12,14&lt;='合同排期'!I12),'合同排期'!N12/('合同排期'!I12-'合同排期'!H12+1),0)+IF(AND(14&gt;='合同排期'!J12,14&lt;'合同排期'!J12+12),'合同排期'!O12,0)+R63*'假设'!D47</x:f>
        <x:v>0</x:v>
      </x:c>
      <x:c r="S65" s="8" t="n">
        <x:f>IF(AND(15&gt;='合同排期'!H12,15&lt;='合同排期'!I12),'合同排期'!N12/('合同排期'!I12-'合同排期'!H12+1),0)+IF(AND(15&gt;='合同排期'!J12,15&lt;'合同排期'!J12+12),'合同排期'!O12,0)+S63*'假设'!D47</x:f>
        <x:v>0</x:v>
      </x:c>
      <x:c r="T65" s="8" t="n">
        <x:f>IF(AND(16&gt;='合同排期'!H12,16&lt;='合同排期'!I12),'合同排期'!N12/('合同排期'!I12-'合同排期'!H12+1),0)+IF(AND(16&gt;='合同排期'!J12,16&lt;'合同排期'!J12+12),'合同排期'!O12,0)+T63*'假设'!D47</x:f>
        <x:v>0</x:v>
      </x:c>
      <x:c r="U65" s="8" t="n">
        <x:f>IF(AND(17&gt;='合同排期'!H12,17&lt;='合同排期'!I12),'合同排期'!N12/('合同排期'!I12-'合同排期'!H12+1),0)+IF(AND(17&gt;='合同排期'!J12,17&lt;'合同排期'!J12+12),'合同排期'!O12,0)+U63*'假设'!D47</x:f>
        <x:v>0</x:v>
      </x:c>
      <x:c r="V65" s="8" t="n">
        <x:f>IF(AND(18&gt;='合同排期'!H12,18&lt;='合同排期'!I12),'合同排期'!N12/('合同排期'!I12-'合同排期'!H12+1),0)+IF(AND(18&gt;='合同排期'!J12,18&lt;'合同排期'!J12+12),'合同排期'!O12,0)+V63*'假设'!D47</x:f>
        <x:v>0</x:v>
      </x:c>
      <x:c r="W65" s="8" t="n">
        <x:f>IF(AND(19&gt;='合同排期'!H12,19&lt;='合同排期'!I12),'合同排期'!N12/('合同排期'!I12-'合同排期'!H12+1),0)+IF(AND(19&gt;='合同排期'!J12,19&lt;'合同排期'!J12+12),'合同排期'!O12,0)+W63*'假设'!D47</x:f>
        <x:v>0</x:v>
      </x:c>
      <x:c r="X65" s="8" t="n">
        <x:f>IF(AND(20&gt;='合同排期'!H12,20&lt;='合同排期'!I12),'合同排期'!N12/('合同排期'!I12-'合同排期'!H12+1),0)+IF(AND(20&gt;='合同排期'!J12,20&lt;'合同排期'!J12+12),'合同排期'!O12,0)+X63*'假设'!D47</x:f>
        <x:v>0</x:v>
      </x:c>
      <x:c r="Y65" s="8" t="n">
        <x:f>IF(AND(21&gt;='合同排期'!H12,21&lt;='合同排期'!I12),'合同排期'!N12/('合同排期'!I12-'合同排期'!H12+1),0)+IF(AND(21&gt;='合同排期'!J12,21&lt;'合同排期'!J12+12),'合同排期'!O12,0)+Y63*'假设'!D47</x:f>
        <x:v>0</x:v>
      </x:c>
      <x:c r="Z65" s="8" t="n">
        <x:f>IF(AND(22&gt;='合同排期'!H12,22&lt;='合同排期'!I12),'合同排期'!N12/('合同排期'!I12-'合同排期'!H12+1),0)+IF(AND(22&gt;='合同排期'!J12,22&lt;'合同排期'!J12+12),'合同排期'!O12,0)+Z63*'假设'!D47</x:f>
        <x:v>0</x:v>
      </x:c>
      <x:c r="AA65" s="8" t="n">
        <x:f>IF(AND(23&gt;='合同排期'!H12,23&lt;='合同排期'!I12),'合同排期'!N12/('合同排期'!I12-'合同排期'!H12+1),0)+IF(AND(23&gt;='合同排期'!J12,23&lt;'合同排期'!J12+12),'合同排期'!O12,0)+AA63*'假设'!D47</x:f>
        <x:v>0</x:v>
      </x:c>
      <x:c r="AB65" s="8" t="n">
        <x:f>IF(AND(24&gt;='合同排期'!H12,24&lt;='合同排期'!I12),'合同排期'!N12/('合同排期'!I12-'合同排期'!H12+1),0)+IF(AND(24&gt;='合同排期'!J12,24&lt;'合同排期'!J12+12),'合同排期'!O12,0)+AB63*'假设'!D47</x:f>
        <x:v>0</x:v>
      </x:c>
    </x:row>
    <x:row r="66" ht="23" customHeight="1">
      <x:c r="A66" s="1"/>
      <x:c r="B66" s="1"/>
      <x:c r="C66" s="1" t="str">
        <x:v>P07</x:v>
      </x:c>
      <x:c r="D66" s="1" t="str">
        <x:v>工程交付人月</x:v>
      </x:c>
      <x:c r="E66" s="8" t="n">
        <x:f>IF(AND(1&gt;='合同排期'!H12,1&lt;='合同排期'!I12),'合同排期'!M12/('合同排期'!I12-'合同排期'!H12+1),0)</x:f>
        <x:v>0</x:v>
      </x:c>
      <x:c r="F66" s="8" t="n">
        <x:f>IF(AND(2&gt;='合同排期'!H12,2&lt;='合同排期'!I12),'合同排期'!M12/('合同排期'!I12-'合同排期'!H12+1),0)</x:f>
        <x:v>0</x:v>
      </x:c>
      <x:c r="G66" s="8" t="n">
        <x:f>IF(AND(3&gt;='合同排期'!H12,3&lt;='合同排期'!I12),'合同排期'!M12/('合同排期'!I12-'合同排期'!H12+1),0)</x:f>
        <x:v>0</x:v>
      </x:c>
      <x:c r="H66" s="8" t="n">
        <x:f>IF(AND(4&gt;='合同排期'!H12,4&lt;='合同排期'!I12),'合同排期'!M12/('合同排期'!I12-'合同排期'!H12+1),0)</x:f>
        <x:v>0</x:v>
      </x:c>
      <x:c r="I66" s="8" t="n">
        <x:f>IF(AND(5&gt;='合同排期'!H12,5&lt;='合同排期'!I12),'合同排期'!M12/('合同排期'!I12-'合同排期'!H12+1),0)</x:f>
        <x:v>0</x:v>
      </x:c>
      <x:c r="J66" s="8" t="n">
        <x:f>IF(AND(6&gt;='合同排期'!H12,6&lt;='合同排期'!I12),'合同排期'!M12/('合同排期'!I12-'合同排期'!H12+1),0)</x:f>
        <x:v>0</x:v>
      </x:c>
      <x:c r="K66" s="8" t="n">
        <x:f>IF(AND(7&gt;='合同排期'!H12,7&lt;='合同排期'!I12),'合同排期'!M12/('合同排期'!I12-'合同排期'!H12+1),0)</x:f>
        <x:v>0</x:v>
      </x:c>
      <x:c r="L66" s="8" t="n">
        <x:f>IF(AND(8&gt;='合同排期'!H12,8&lt;='合同排期'!I12),'合同排期'!M12/('合同排期'!I12-'合同排期'!H12+1),0)</x:f>
        <x:v>0</x:v>
      </x:c>
      <x:c r="M66" s="8" t="n">
        <x:f>IF(AND(9&gt;='合同排期'!H12,9&lt;='合同排期'!I12),'合同排期'!M12/('合同排期'!I12-'合同排期'!H12+1),0)</x:f>
        <x:v>1.5</x:v>
      </x:c>
      <x:c r="N66" s="8" t="n">
        <x:f>IF(AND(10&gt;='合同排期'!H12,10&lt;='合同排期'!I12),'合同排期'!M12/('合同排期'!I12-'合同排期'!H12+1),0)</x:f>
        <x:v>1.5</x:v>
      </x:c>
      <x:c r="O66" s="8" t="n">
        <x:f>IF(AND(11&gt;='合同排期'!H12,11&lt;='合同排期'!I12),'合同排期'!M12/('合同排期'!I12-'合同排期'!H12+1),0)</x:f>
        <x:v>0</x:v>
      </x:c>
      <x:c r="P66" s="8" t="n">
        <x:f>IF(AND(12&gt;='合同排期'!H12,12&lt;='合同排期'!I12),'合同排期'!M12/('合同排期'!I12-'合同排期'!H12+1),0)</x:f>
        <x:v>0</x:v>
      </x:c>
      <x:c r="Q66" s="8" t="n">
        <x:f>IF(AND(13&gt;='合同排期'!H12,13&lt;='合同排期'!I12),'合同排期'!M12/('合同排期'!I12-'合同排期'!H12+1),0)</x:f>
        <x:v>0</x:v>
      </x:c>
      <x:c r="R66" s="8" t="n">
        <x:f>IF(AND(14&gt;='合同排期'!H12,14&lt;='合同排期'!I12),'合同排期'!M12/('合同排期'!I12-'合同排期'!H12+1),0)</x:f>
        <x:v>0</x:v>
      </x:c>
      <x:c r="S66" s="8" t="n">
        <x:f>IF(AND(15&gt;='合同排期'!H12,15&lt;='合同排期'!I12),'合同排期'!M12/('合同排期'!I12-'合同排期'!H12+1),0)</x:f>
        <x:v>0</x:v>
      </x:c>
      <x:c r="T66" s="8" t="n">
        <x:f>IF(AND(16&gt;='合同排期'!H12,16&lt;='合同排期'!I12),'合同排期'!M12/('合同排期'!I12-'合同排期'!H12+1),0)</x:f>
        <x:v>0</x:v>
      </x:c>
      <x:c r="U66" s="8" t="n">
        <x:f>IF(AND(17&gt;='合同排期'!H12,17&lt;='合同排期'!I12),'合同排期'!M12/('合同排期'!I12-'合同排期'!H12+1),0)</x:f>
        <x:v>0</x:v>
      </x:c>
      <x:c r="V66" s="8" t="n">
        <x:f>IF(AND(18&gt;='合同排期'!H12,18&lt;='合同排期'!I12),'合同排期'!M12/('合同排期'!I12-'合同排期'!H12+1),0)</x:f>
        <x:v>0</x:v>
      </x:c>
      <x:c r="W66" s="8" t="n">
        <x:f>IF(AND(19&gt;='合同排期'!H12,19&lt;='合同排期'!I12),'合同排期'!M12/('合同排期'!I12-'合同排期'!H12+1),0)</x:f>
        <x:v>0</x:v>
      </x:c>
      <x:c r="X66" s="8" t="n">
        <x:f>IF(AND(20&gt;='合同排期'!H12,20&lt;='合同排期'!I12),'合同排期'!M12/('合同排期'!I12-'合同排期'!H12+1),0)</x:f>
        <x:v>0</x:v>
      </x:c>
      <x:c r="Y66" s="8" t="n">
        <x:f>IF(AND(21&gt;='合同排期'!H12,21&lt;='合同排期'!I12),'合同排期'!M12/('合同排期'!I12-'合同排期'!H12+1),0)</x:f>
        <x:v>0</x:v>
      </x:c>
      <x:c r="Z66" s="8" t="n">
        <x:f>IF(AND(22&gt;='合同排期'!H12,22&lt;='合同排期'!I12),'合同排期'!M12/('合同排期'!I12-'合同排期'!H12+1),0)</x:f>
        <x:v>0</x:v>
      </x:c>
      <x:c r="AA66" s="8" t="n">
        <x:f>IF(AND(23&gt;='合同排期'!H12,23&lt;='合同排期'!I12),'合同排期'!M12/('合同排期'!I12-'合同排期'!H12+1),0)</x:f>
        <x:v>0</x:v>
      </x:c>
      <x:c r="AB66" s="8" t="n">
        <x:f>IF(AND(24&gt;='合同排期'!H12,24&lt;='合同排期'!I12),'合同排期'!M12/('合同排期'!I12-'合同排期'!H12+1),0)</x:f>
        <x:v>0</x:v>
      </x:c>
    </x:row>
    <x:row r="67" ht="23" customHeight="1">
      <x:c r="A67" s="1"/>
      <x:c r="B67" s="1"/>
      <x:c r="C67" s="1" t="str">
        <x:v>P07</x:v>
      </x:c>
      <x:c r="D67" s="1" t="str">
        <x:v>生效ARR</x:v>
      </x:c>
      <x:c r="E67" s="8" t="n">
        <x:f>IF(AND(1&gt;='合同排期'!J12,1&lt;'合同排期'!J12+12),'合同排期'!L12,0)</x:f>
        <x:v>0</x:v>
      </x:c>
      <x:c r="F67" s="8" t="n">
        <x:f>IF(AND(2&gt;='合同排期'!J12,2&lt;'合同排期'!J12+12),'合同排期'!L12,0)</x:f>
        <x:v>0</x:v>
      </x:c>
      <x:c r="G67" s="8" t="n">
        <x:f>IF(AND(3&gt;='合同排期'!J12,3&lt;'合同排期'!J12+12),'合同排期'!L12,0)</x:f>
        <x:v>0</x:v>
      </x:c>
      <x:c r="H67" s="8" t="n">
        <x:f>IF(AND(4&gt;='合同排期'!J12,4&lt;'合同排期'!J12+12),'合同排期'!L12,0)</x:f>
        <x:v>0</x:v>
      </x:c>
      <x:c r="I67" s="8" t="n">
        <x:f>IF(AND(5&gt;='合同排期'!J12,5&lt;'合同排期'!J12+12),'合同排期'!L12,0)</x:f>
        <x:v>0</x:v>
      </x:c>
      <x:c r="J67" s="8" t="n">
        <x:f>IF(AND(6&gt;='合同排期'!J12,6&lt;'合同排期'!J12+12),'合同排期'!L12,0)</x:f>
        <x:v>0</x:v>
      </x:c>
      <x:c r="K67" s="8" t="n">
        <x:f>IF(AND(7&gt;='合同排期'!J12,7&lt;'合同排期'!J12+12),'合同排期'!L12,0)</x:f>
        <x:v>0</x:v>
      </x:c>
      <x:c r="L67" s="8" t="n">
        <x:f>IF(AND(8&gt;='合同排期'!J12,8&lt;'合同排期'!J12+12),'合同排期'!L12,0)</x:f>
        <x:v>0</x:v>
      </x:c>
      <x:c r="M67" s="8" t="n">
        <x:f>IF(AND(9&gt;='合同排期'!J12,9&lt;'合同排期'!J12+12),'合同排期'!L12,0)</x:f>
        <x:v>0</x:v>
      </x:c>
      <x:c r="N67" s="8" t="n">
        <x:f>IF(AND(10&gt;='合同排期'!J12,10&lt;'合同排期'!J12+12),'合同排期'!L12,0)</x:f>
        <x:v>0</x:v>
      </x:c>
      <x:c r="O67" s="8" t="n">
        <x:f>IF(AND(11&gt;='合同排期'!J12,11&lt;'合同排期'!J12+12),'合同排期'!L12,0)</x:f>
        <x:v>0</x:v>
      </x:c>
      <x:c r="P67" s="8" t="n">
        <x:f>IF(AND(12&gt;='合同排期'!J12,12&lt;'合同排期'!J12+12),'合同排期'!L12,0)</x:f>
        <x:v>0</x:v>
      </x:c>
      <x:c r="Q67" s="8" t="n">
        <x:f>IF(AND(13&gt;='合同排期'!J12,13&lt;'合同排期'!J12+12),'合同排期'!L12,0)</x:f>
        <x:v>0</x:v>
      </x:c>
      <x:c r="R67" s="8" t="n">
        <x:f>IF(AND(14&gt;='合同排期'!J12,14&lt;'合同排期'!J12+12),'合同排期'!L12,0)</x:f>
        <x:v>0</x:v>
      </x:c>
      <x:c r="S67" s="8" t="n">
        <x:f>IF(AND(15&gt;='合同排期'!J12,15&lt;'合同排期'!J12+12),'合同排期'!L12,0)</x:f>
        <x:v>0</x:v>
      </x:c>
      <x:c r="T67" s="8" t="n">
        <x:f>IF(AND(16&gt;='合同排期'!J12,16&lt;'合同排期'!J12+12),'合同排期'!L12,0)</x:f>
        <x:v>0</x:v>
      </x:c>
      <x:c r="U67" s="8" t="n">
        <x:f>IF(AND(17&gt;='合同排期'!J12,17&lt;'合同排期'!J12+12),'合同排期'!L12,0)</x:f>
        <x:v>0</x:v>
      </x:c>
      <x:c r="V67" s="8" t="n">
        <x:f>IF(AND(18&gt;='合同排期'!J12,18&lt;'合同排期'!J12+12),'合同排期'!L12,0)</x:f>
        <x:v>0</x:v>
      </x:c>
      <x:c r="W67" s="8" t="n">
        <x:f>IF(AND(19&gt;='合同排期'!J12,19&lt;'合同排期'!J12+12),'合同排期'!L12,0)</x:f>
        <x:v>0</x:v>
      </x:c>
      <x:c r="X67" s="8" t="n">
        <x:f>IF(AND(20&gt;='合同排期'!J12,20&lt;'合同排期'!J12+12),'合同排期'!L12,0)</x:f>
        <x:v>0</x:v>
      </x:c>
      <x:c r="Y67" s="8" t="n">
        <x:f>IF(AND(21&gt;='合同排期'!J12,21&lt;'合同排期'!J12+12),'合同排期'!L12,0)</x:f>
        <x:v>0</x:v>
      </x:c>
      <x:c r="Z67" s="8" t="n">
        <x:f>IF(AND(22&gt;='合同排期'!J12,22&lt;'合同排期'!J12+12),'合同排期'!L12,0)</x:f>
        <x:v>0</x:v>
      </x:c>
      <x:c r="AA67" s="8" t="n">
        <x:f>IF(AND(23&gt;='合同排期'!J12,23&lt;'合同排期'!J12+12),'合同排期'!L12,0)</x:f>
        <x:v>0</x:v>
      </x:c>
      <x:c r="AB67" s="8" t="n">
        <x:f>IF(AND(24&gt;='合同排期'!J12,24&lt;'合同排期'!J12+12),'合同排期'!L12,0)</x:f>
        <x:v>0</x:v>
      </x:c>
    </x:row>
    <x:row r="68" ht="23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  <x:c r="AA68" s="1"/>
      <x:c r="AB68" s="1"/>
    </x:row>
    <x:row r="69" ht="23" customHeight="1">
      <x:c r="A69" s="1"/>
      <x:c r="B69" s="1"/>
      <x:c r="C69" s="1" t="str">
        <x:v>P08</x:v>
      </x:c>
      <x:c r="D69" s="1" t="str">
        <x:v>净签约</x:v>
      </x:c>
      <x:c r="E69" s="8" t="n">
        <x:f>IF(1='合同排期'!H13,'合同排期'!K13+'合同排期'!L13,0)</x:f>
        <x:v>0</x:v>
      </x:c>
      <x:c r="F69" s="8" t="n">
        <x:f>IF(2='合同排期'!H13,'合同排期'!K13+'合同排期'!L13,0)</x:f>
        <x:v>0</x:v>
      </x:c>
      <x:c r="G69" s="8" t="n">
        <x:f>IF(3='合同排期'!H13,'合同排期'!K13+'合同排期'!L13,0)</x:f>
        <x:v>0</x:v>
      </x:c>
      <x:c r="H69" s="8" t="n">
        <x:f>IF(4='合同排期'!H13,'合同排期'!K13+'合同排期'!L13,0)</x:f>
        <x:v>0</x:v>
      </x:c>
      <x:c r="I69" s="8" t="n">
        <x:f>IF(5='合同排期'!H13,'合同排期'!K13+'合同排期'!L13,0)</x:f>
        <x:v>0</x:v>
      </x:c>
      <x:c r="J69" s="8" t="n">
        <x:f>IF(6='合同排期'!H13,'合同排期'!K13+'合同排期'!L13,0)</x:f>
        <x:v>0</x:v>
      </x:c>
      <x:c r="K69" s="8" t="n">
        <x:f>IF(7='合同排期'!H13,'合同排期'!K13+'合同排期'!L13,0)</x:f>
        <x:v>0</x:v>
      </x:c>
      <x:c r="L69" s="8" t="n">
        <x:f>IF(8='合同排期'!H13,'合同排期'!K13+'合同排期'!L13,0)</x:f>
        <x:v>0</x:v>
      </x:c>
      <x:c r="M69" s="8" t="n">
        <x:f>IF(9='合同排期'!H13,'合同排期'!K13+'合同排期'!L13,0)</x:f>
        <x:v>0</x:v>
      </x:c>
      <x:c r="N69" s="8" t="n">
        <x:f>IF(10='合同排期'!H13,'合同排期'!K13+'合同排期'!L13,0)</x:f>
        <x:v>8</x:v>
      </x:c>
      <x:c r="O69" s="8" t="n">
        <x:f>IF(11='合同排期'!H13,'合同排期'!K13+'合同排期'!L13,0)</x:f>
        <x:v>0</x:v>
      </x:c>
      <x:c r="P69" s="8" t="n">
        <x:f>IF(12='合同排期'!H13,'合同排期'!K13+'合同排期'!L13,0)</x:f>
        <x:v>0</x:v>
      </x:c>
      <x:c r="Q69" s="8" t="n">
        <x:f>IF(13='合同排期'!H13,'合同排期'!K13+'合同排期'!L13,0)</x:f>
        <x:v>0</x:v>
      </x:c>
      <x:c r="R69" s="8" t="n">
        <x:f>IF(14='合同排期'!H13,'合同排期'!K13+'合同排期'!L13,0)</x:f>
        <x:v>0</x:v>
      </x:c>
      <x:c r="S69" s="8" t="n">
        <x:f>IF(15='合同排期'!H13,'合同排期'!K13+'合同排期'!L13,0)</x:f>
        <x:v>0</x:v>
      </x:c>
      <x:c r="T69" s="8" t="n">
        <x:f>IF(16='合同排期'!H13,'合同排期'!K13+'合同排期'!L13,0)</x:f>
        <x:v>0</x:v>
      </x:c>
      <x:c r="U69" s="8" t="n">
        <x:f>IF(17='合同排期'!H13,'合同排期'!K13+'合同排期'!L13,0)</x:f>
        <x:v>0</x:v>
      </x:c>
      <x:c r="V69" s="8" t="n">
        <x:f>IF(18='合同排期'!H13,'合同排期'!K13+'合同排期'!L13,0)</x:f>
        <x:v>0</x:v>
      </x:c>
      <x:c r="W69" s="8" t="n">
        <x:f>IF(19='合同排期'!H13,'合同排期'!K13+'合同排期'!L13,0)</x:f>
        <x:v>0</x:v>
      </x:c>
      <x:c r="X69" s="8" t="n">
        <x:f>IF(20='合同排期'!H13,'合同排期'!K13+'合同排期'!L13,0)</x:f>
        <x:v>0</x:v>
      </x:c>
      <x:c r="Y69" s="8" t="n">
        <x:f>IF(21='合同排期'!H13,'合同排期'!K13+'合同排期'!L13,0)</x:f>
        <x:v>0</x:v>
      </x:c>
      <x:c r="Z69" s="8" t="n">
        <x:f>IF(22='合同排期'!H13,'合同排期'!K13+'合同排期'!L13,0)</x:f>
        <x:v>0</x:v>
      </x:c>
      <x:c r="AA69" s="8" t="n">
        <x:f>IF(23='合同排期'!H13,'合同排期'!K13+'合同排期'!L13,0)</x:f>
        <x:v>0</x:v>
      </x:c>
      <x:c r="AB69" s="8" t="n">
        <x:f>IF(24='合同排期'!H13,'合同排期'!K13+'合同排期'!L13,0)</x:f>
        <x:v>0</x:v>
      </x:c>
    </x:row>
    <x:row r="70" ht="23" customHeight="1">
      <x:c r="A70" s="1"/>
      <x:c r="B70" s="1"/>
      <x:c r="C70" s="1" t="str">
        <x:v>P08</x:v>
      </x:c>
      <x:c r="D70" s="1" t="str">
        <x:v>确认收入</x:v>
      </x:c>
      <x:c r="E70" s="8" t="n">
        <x:f>IF(1='合同排期'!I13,'合同排期'!K13,0)+IF(AND(1&gt;='合同排期'!J13,1&lt;'合同排期'!J13+12),'合同排期'!L13/12,0)</x:f>
        <x:v>0</x:v>
      </x:c>
      <x:c r="F70" s="8" t="n">
        <x:f>IF(2='合同排期'!I13,'合同排期'!K13,0)+IF(AND(2&gt;='合同排期'!J13,2&lt;'合同排期'!J13+12),'合同排期'!L13/12,0)</x:f>
        <x:v>0</x:v>
      </x:c>
      <x:c r="G70" s="8" t="n">
        <x:f>IF(3='合同排期'!I13,'合同排期'!K13,0)+IF(AND(3&gt;='合同排期'!J13,3&lt;'合同排期'!J13+12),'合同排期'!L13/12,0)</x:f>
        <x:v>0</x:v>
      </x:c>
      <x:c r="H70" s="8" t="n">
        <x:f>IF(4='合同排期'!I13,'合同排期'!K13,0)+IF(AND(4&gt;='合同排期'!J13,4&lt;'合同排期'!J13+12),'合同排期'!L13/12,0)</x:f>
        <x:v>0</x:v>
      </x:c>
      <x:c r="I70" s="8" t="n">
        <x:f>IF(5='合同排期'!I13,'合同排期'!K13,0)+IF(AND(5&gt;='合同排期'!J13,5&lt;'合同排期'!J13+12),'合同排期'!L13/12,0)</x:f>
        <x:v>0</x:v>
      </x:c>
      <x:c r="J70" s="8" t="n">
        <x:f>IF(6='合同排期'!I13,'合同排期'!K13,0)+IF(AND(6&gt;='合同排期'!J13,6&lt;'合同排期'!J13+12),'合同排期'!L13/12,0)</x:f>
        <x:v>0</x:v>
      </x:c>
      <x:c r="K70" s="8" t="n">
        <x:f>IF(7='合同排期'!I13,'合同排期'!K13,0)+IF(AND(7&gt;='合同排期'!J13,7&lt;'合同排期'!J13+12),'合同排期'!L13/12,0)</x:f>
        <x:v>0</x:v>
      </x:c>
      <x:c r="L70" s="8" t="n">
        <x:f>IF(8='合同排期'!I13,'合同排期'!K13,0)+IF(AND(8&gt;='合同排期'!J13,8&lt;'合同排期'!J13+12),'合同排期'!L13/12,0)</x:f>
        <x:v>0</x:v>
      </x:c>
      <x:c r="M70" s="8" t="n">
        <x:f>IF(9='合同排期'!I13,'合同排期'!K13,0)+IF(AND(9&gt;='合同排期'!J13,9&lt;'合同排期'!J13+12),'合同排期'!L13/12,0)</x:f>
        <x:v>0</x:v>
      </x:c>
      <x:c r="N70" s="8" t="n">
        <x:f>IF(10='合同排期'!I13,'合同排期'!K13,0)+IF(AND(10&gt;='合同排期'!J13,10&lt;'合同排期'!J13+12),'合同排期'!L13/12,0)</x:f>
        <x:v>0</x:v>
      </x:c>
      <x:c r="O70" s="8" t="n">
        <x:f>IF(11='合同排期'!I13,'合同排期'!K13,0)+IF(AND(11&gt;='合同排期'!J13,11&lt;'合同排期'!J13+12),'合同排期'!L13/12,0)</x:f>
        <x:v>8</x:v>
      </x:c>
      <x:c r="P70" s="8" t="n">
        <x:f>IF(12='合同排期'!I13,'合同排期'!K13,0)+IF(AND(12&gt;='合同排期'!J13,12&lt;'合同排期'!J13+12),'合同排期'!L13/12,0)</x:f>
        <x:v>0</x:v>
      </x:c>
      <x:c r="Q70" s="8" t="n">
        <x:f>IF(13='合同排期'!I13,'合同排期'!K13,0)+IF(AND(13&gt;='合同排期'!J13,13&lt;'合同排期'!J13+12),'合同排期'!L13/12,0)</x:f>
        <x:v>0</x:v>
      </x:c>
      <x:c r="R70" s="8" t="n">
        <x:f>IF(14='合同排期'!I13,'合同排期'!K13,0)+IF(AND(14&gt;='合同排期'!J13,14&lt;'合同排期'!J13+12),'合同排期'!L13/12,0)</x:f>
        <x:v>0</x:v>
      </x:c>
      <x:c r="S70" s="8" t="n">
        <x:f>IF(15='合同排期'!I13,'合同排期'!K13,0)+IF(AND(15&gt;='合同排期'!J13,15&lt;'合同排期'!J13+12),'合同排期'!L13/12,0)</x:f>
        <x:v>0</x:v>
      </x:c>
      <x:c r="T70" s="8" t="n">
        <x:f>IF(16='合同排期'!I13,'合同排期'!K13,0)+IF(AND(16&gt;='合同排期'!J13,16&lt;'合同排期'!J13+12),'合同排期'!L13/12,0)</x:f>
        <x:v>0</x:v>
      </x:c>
      <x:c r="U70" s="8" t="n">
        <x:f>IF(17='合同排期'!I13,'合同排期'!K13,0)+IF(AND(17&gt;='合同排期'!J13,17&lt;'合同排期'!J13+12),'合同排期'!L13/12,0)</x:f>
        <x:v>0</x:v>
      </x:c>
      <x:c r="V70" s="8" t="n">
        <x:f>IF(18='合同排期'!I13,'合同排期'!K13,0)+IF(AND(18&gt;='合同排期'!J13,18&lt;'合同排期'!J13+12),'合同排期'!L13/12,0)</x:f>
        <x:v>0</x:v>
      </x:c>
      <x:c r="W70" s="8" t="n">
        <x:f>IF(19='合同排期'!I13,'合同排期'!K13,0)+IF(AND(19&gt;='合同排期'!J13,19&lt;'合同排期'!J13+12),'合同排期'!L13/12,0)</x:f>
        <x:v>0</x:v>
      </x:c>
      <x:c r="X70" s="8" t="n">
        <x:f>IF(20='合同排期'!I13,'合同排期'!K13,0)+IF(AND(20&gt;='合同排期'!J13,20&lt;'合同排期'!J13+12),'合同排期'!L13/12,0)</x:f>
        <x:v>0</x:v>
      </x:c>
      <x:c r="Y70" s="8" t="n">
        <x:f>IF(21='合同排期'!I13,'合同排期'!K13,0)+IF(AND(21&gt;='合同排期'!J13,21&lt;'合同排期'!J13+12),'合同排期'!L13/12,0)</x:f>
        <x:v>0</x:v>
      </x:c>
      <x:c r="Z70" s="8" t="n">
        <x:f>IF(22='合同排期'!I13,'合同排期'!K13,0)+IF(AND(22&gt;='合同排期'!J13,22&lt;'合同排期'!J13+12),'合同排期'!L13/12,0)</x:f>
        <x:v>0</x:v>
      </x:c>
      <x:c r="AA70" s="8" t="n">
        <x:f>IF(23='合同排期'!I13,'合同排期'!K13,0)+IF(AND(23&gt;='合同排期'!J13,23&lt;'合同排期'!J13+12),'合同排期'!L13/12,0)</x:f>
        <x:v>0</x:v>
      </x:c>
      <x:c r="AB70" s="8" t="n">
        <x:f>IF(24='合同排期'!I13,'合同排期'!K13,0)+IF(AND(24&gt;='合同排期'!J13,24&lt;'合同排期'!J13+12),'合同排期'!L13/12,0)</x:f>
        <x:v>0</x:v>
      </x:c>
    </x:row>
    <x:row r="71" ht="23" customHeight="1">
      <x:c r="A71" s="1"/>
      <x:c r="B71" s="1"/>
      <x:c r="C71" s="1" t="str">
        <x:v>P08</x:v>
      </x:c>
      <x:c r="D71" s="1" t="str">
        <x:v>开票</x:v>
      </x:c>
      <x:c r="E71" s="8" t="n">
        <x:f>IF(1='合同排期'!H13,'合同排期'!K13*'合同排期'!P13,0)+IF(1='合同排期'!S13,'合同排期'!K13*'合同排期'!Q13,0)+IF(1='合同排期'!I13,'合同排期'!K13*'合同排期'!R13,0)+IF(1='合同排期'!J13,'合同排期'!L13,0)</x:f>
        <x:v>0</x:v>
      </x:c>
      <x:c r="F71" s="8" t="n">
        <x:f>IF(2='合同排期'!H13,'合同排期'!K13*'合同排期'!P13,0)+IF(2='合同排期'!S13,'合同排期'!K13*'合同排期'!Q13,0)+IF(2='合同排期'!I13,'合同排期'!K13*'合同排期'!R13,0)+IF(2='合同排期'!J13,'合同排期'!L13,0)</x:f>
        <x:v>0</x:v>
      </x:c>
      <x:c r="G71" s="8" t="n">
        <x:f>IF(3='合同排期'!H13,'合同排期'!K13*'合同排期'!P13,0)+IF(3='合同排期'!S13,'合同排期'!K13*'合同排期'!Q13,0)+IF(3='合同排期'!I13,'合同排期'!K13*'合同排期'!R13,0)+IF(3='合同排期'!J13,'合同排期'!L13,0)</x:f>
        <x:v>0</x:v>
      </x:c>
      <x:c r="H71" s="8" t="n">
        <x:f>IF(4='合同排期'!H13,'合同排期'!K13*'合同排期'!P13,0)+IF(4='合同排期'!S13,'合同排期'!K13*'合同排期'!Q13,0)+IF(4='合同排期'!I13,'合同排期'!K13*'合同排期'!R13,0)+IF(4='合同排期'!J13,'合同排期'!L13,0)</x:f>
        <x:v>0</x:v>
      </x:c>
      <x:c r="I71" s="8" t="n">
        <x:f>IF(5='合同排期'!H13,'合同排期'!K13*'合同排期'!P13,0)+IF(5='合同排期'!S13,'合同排期'!K13*'合同排期'!Q13,0)+IF(5='合同排期'!I13,'合同排期'!K13*'合同排期'!R13,0)+IF(5='合同排期'!J13,'合同排期'!L13,0)</x:f>
        <x:v>0</x:v>
      </x:c>
      <x:c r="J71" s="8" t="n">
        <x:f>IF(6='合同排期'!H13,'合同排期'!K13*'合同排期'!P13,0)+IF(6='合同排期'!S13,'合同排期'!K13*'合同排期'!Q13,0)+IF(6='合同排期'!I13,'合同排期'!K13*'合同排期'!R13,0)+IF(6='合同排期'!J13,'合同排期'!L13,0)</x:f>
        <x:v>0</x:v>
      </x:c>
      <x:c r="K71" s="8" t="n">
        <x:f>IF(7='合同排期'!H13,'合同排期'!K13*'合同排期'!P13,0)+IF(7='合同排期'!S13,'合同排期'!K13*'合同排期'!Q13,0)+IF(7='合同排期'!I13,'合同排期'!K13*'合同排期'!R13,0)+IF(7='合同排期'!J13,'合同排期'!L13,0)</x:f>
        <x:v>0</x:v>
      </x:c>
      <x:c r="L71" s="8" t="n">
        <x:f>IF(8='合同排期'!H13,'合同排期'!K13*'合同排期'!P13,0)+IF(8='合同排期'!S13,'合同排期'!K13*'合同排期'!Q13,0)+IF(8='合同排期'!I13,'合同排期'!K13*'合同排期'!R13,0)+IF(8='合同排期'!J13,'合同排期'!L13,0)</x:f>
        <x:v>0</x:v>
      </x:c>
      <x:c r="M71" s="8" t="n">
        <x:f>IF(9='合同排期'!H13,'合同排期'!K13*'合同排期'!P13,0)+IF(9='合同排期'!S13,'合同排期'!K13*'合同排期'!Q13,0)+IF(9='合同排期'!I13,'合同排期'!K13*'合同排期'!R13,0)+IF(9='合同排期'!J13,'合同排期'!L13,0)</x:f>
        <x:v>0</x:v>
      </x:c>
      <x:c r="N71" s="8" t="n">
        <x:f>IF(10='合同排期'!H13,'合同排期'!K13*'合同排期'!P13,0)+IF(10='合同排期'!S13,'合同排期'!K13*'合同排期'!Q13,0)+IF(10='合同排期'!I13,'合同排期'!K13*'合同排期'!R13,0)+IF(10='合同排期'!J13,'合同排期'!L13,0)</x:f>
        <x:v>2.4</x:v>
      </x:c>
      <x:c r="O71" s="8" t="n">
        <x:f>IF(11='合同排期'!H13,'合同排期'!K13*'合同排期'!P13,0)+IF(11='合同排期'!S13,'合同排期'!K13*'合同排期'!Q13,0)+IF(11='合同排期'!I13,'合同排期'!K13*'合同排期'!R13,0)+IF(11='合同排期'!J13,'合同排期'!L13,0)</x:f>
        <x:v>5.6</x:v>
      </x:c>
      <x:c r="P71" s="8" t="n">
        <x:f>IF(12='合同排期'!H13,'合同排期'!K13*'合同排期'!P13,0)+IF(12='合同排期'!S13,'合同排期'!K13*'合同排期'!Q13,0)+IF(12='合同排期'!I13,'合同排期'!K13*'合同排期'!R13,0)+IF(12='合同排期'!J13,'合同排期'!L13,0)</x:f>
        <x:v>0</x:v>
      </x:c>
      <x:c r="Q71" s="8" t="n">
        <x:f>IF(13='合同排期'!H13,'合同排期'!K13*'合同排期'!P13,0)+IF(13='合同排期'!S13,'合同排期'!K13*'合同排期'!Q13,0)+IF(13='合同排期'!I13,'合同排期'!K13*'合同排期'!R13,0)+IF(13='合同排期'!J13,'合同排期'!L13,0)</x:f>
        <x:v>0</x:v>
      </x:c>
      <x:c r="R71" s="8" t="n">
        <x:f>IF(14='合同排期'!H13,'合同排期'!K13*'合同排期'!P13,0)+IF(14='合同排期'!S13,'合同排期'!K13*'合同排期'!Q13,0)+IF(14='合同排期'!I13,'合同排期'!K13*'合同排期'!R13,0)+IF(14='合同排期'!J13,'合同排期'!L13,0)</x:f>
        <x:v>0</x:v>
      </x:c>
      <x:c r="S71" s="8" t="n">
        <x:f>IF(15='合同排期'!H13,'合同排期'!K13*'合同排期'!P13,0)+IF(15='合同排期'!S13,'合同排期'!K13*'合同排期'!Q13,0)+IF(15='合同排期'!I13,'合同排期'!K13*'合同排期'!R13,0)+IF(15='合同排期'!J13,'合同排期'!L13,0)</x:f>
        <x:v>0</x:v>
      </x:c>
      <x:c r="T71" s="8" t="n">
        <x:f>IF(16='合同排期'!H13,'合同排期'!K13*'合同排期'!P13,0)+IF(16='合同排期'!S13,'合同排期'!K13*'合同排期'!Q13,0)+IF(16='合同排期'!I13,'合同排期'!K13*'合同排期'!R13,0)+IF(16='合同排期'!J13,'合同排期'!L13,0)</x:f>
        <x:v>0</x:v>
      </x:c>
      <x:c r="U71" s="8" t="n">
        <x:f>IF(17='合同排期'!H13,'合同排期'!K13*'合同排期'!P13,0)+IF(17='合同排期'!S13,'合同排期'!K13*'合同排期'!Q13,0)+IF(17='合同排期'!I13,'合同排期'!K13*'合同排期'!R13,0)+IF(17='合同排期'!J13,'合同排期'!L13,0)</x:f>
        <x:v>0</x:v>
      </x:c>
      <x:c r="V71" s="8" t="n">
        <x:f>IF(18='合同排期'!H13,'合同排期'!K13*'合同排期'!P13,0)+IF(18='合同排期'!S13,'合同排期'!K13*'合同排期'!Q13,0)+IF(18='合同排期'!I13,'合同排期'!K13*'合同排期'!R13,0)+IF(18='合同排期'!J13,'合同排期'!L13,0)</x:f>
        <x:v>0</x:v>
      </x:c>
      <x:c r="W71" s="8" t="n">
        <x:f>IF(19='合同排期'!H13,'合同排期'!K13*'合同排期'!P13,0)+IF(19='合同排期'!S13,'合同排期'!K13*'合同排期'!Q13,0)+IF(19='合同排期'!I13,'合同排期'!K13*'合同排期'!R13,0)+IF(19='合同排期'!J13,'合同排期'!L13,0)</x:f>
        <x:v>0</x:v>
      </x:c>
      <x:c r="X71" s="8" t="n">
        <x:f>IF(20='合同排期'!H13,'合同排期'!K13*'合同排期'!P13,0)+IF(20='合同排期'!S13,'合同排期'!K13*'合同排期'!Q13,0)+IF(20='合同排期'!I13,'合同排期'!K13*'合同排期'!R13,0)+IF(20='合同排期'!J13,'合同排期'!L13,0)</x:f>
        <x:v>0</x:v>
      </x:c>
      <x:c r="Y71" s="8" t="n">
        <x:f>IF(21='合同排期'!H13,'合同排期'!K13*'合同排期'!P13,0)+IF(21='合同排期'!S13,'合同排期'!K13*'合同排期'!Q13,0)+IF(21='合同排期'!I13,'合同排期'!K13*'合同排期'!R13,0)+IF(21='合同排期'!J13,'合同排期'!L13,0)</x:f>
        <x:v>0</x:v>
      </x:c>
      <x:c r="Z71" s="8" t="n">
        <x:f>IF(22='合同排期'!H13,'合同排期'!K13*'合同排期'!P13,0)+IF(22='合同排期'!S13,'合同排期'!K13*'合同排期'!Q13,0)+IF(22='合同排期'!I13,'合同排期'!K13*'合同排期'!R13,0)+IF(22='合同排期'!J13,'合同排期'!L13,0)</x:f>
        <x:v>0</x:v>
      </x:c>
      <x:c r="AA71" s="8" t="n">
        <x:f>IF(23='合同排期'!H13,'合同排期'!K13*'合同排期'!P13,0)+IF(23='合同排期'!S13,'合同排期'!K13*'合同排期'!Q13,0)+IF(23='合同排期'!I13,'合同排期'!K13*'合同排期'!R13,0)+IF(23='合同排期'!J13,'合同排期'!L13,0)</x:f>
        <x:v>0</x:v>
      </x:c>
      <x:c r="AB71" s="8" t="n">
        <x:f>IF(24='合同排期'!H13,'合同排期'!K13*'合同排期'!P13,0)+IF(24='合同排期'!S13,'合同排期'!K13*'合同排期'!Q13,0)+IF(24='合同排期'!I13,'合同排期'!K13*'合同排期'!R13,0)+IF(24='合同排期'!J13,'合同排期'!L13,0)</x:f>
        <x:v>0</x:v>
      </x:c>
    </x:row>
    <x:row r="72" ht="23" customHeight="1">
      <x:c r="A72" s="1"/>
      <x:c r="B72" s="1"/>
      <x:c r="C72" s="1" t="str">
        <x:v>P08</x:v>
      </x:c>
      <x:c r="D72" s="1" t="str">
        <x:v>回款</x:v>
      </x:c>
      <x:c r="E72" s="8" t="n">
        <x:f>IF(1&gt;'假设'!D27,INDEX($E71:$AB71,1,1-'假设'!D27),0)</x:f>
        <x:v>0</x:v>
      </x:c>
      <x:c r="F72" s="8" t="n">
        <x:f>IF(2&gt;'假设'!D27,INDEX($E71:$AB71,1,2-'假设'!D27),0)</x:f>
        <x:v>0</x:v>
      </x:c>
      <x:c r="G72" s="8" t="n">
        <x:f>IF(3&gt;'假设'!D27,INDEX($E71:$AB71,1,3-'假设'!D27),0)</x:f>
        <x:v>0</x:v>
      </x:c>
      <x:c r="H72" s="8" t="n">
        <x:f>IF(4&gt;'假设'!D27,INDEX($E71:$AB71,1,4-'假设'!D27),0)</x:f>
        <x:v>0</x:v>
      </x:c>
      <x:c r="I72" s="8" t="n">
        <x:f>IF(5&gt;'假设'!D27,INDEX($E71:$AB71,1,5-'假设'!D27),0)</x:f>
        <x:v>0</x:v>
      </x:c>
      <x:c r="J72" s="8" t="n">
        <x:f>IF(6&gt;'假设'!D27,INDEX($E71:$AB71,1,6-'假设'!D27),0)</x:f>
        <x:v>0</x:v>
      </x:c>
      <x:c r="K72" s="8" t="n">
        <x:f>IF(7&gt;'假设'!D27,INDEX($E71:$AB71,1,7-'假设'!D27),0)</x:f>
        <x:v>0</x:v>
      </x:c>
      <x:c r="L72" s="8" t="n">
        <x:f>IF(8&gt;'假设'!D27,INDEX($E71:$AB71,1,8-'假设'!D27),0)</x:f>
        <x:v>0</x:v>
      </x:c>
      <x:c r="M72" s="8" t="n">
        <x:f>IF(9&gt;'假设'!D27,INDEX($E71:$AB71,1,9-'假设'!D27),0)</x:f>
        <x:v>0</x:v>
      </x:c>
      <x:c r="N72" s="8" t="n">
        <x:f>IF(10&gt;'假设'!D27,INDEX($E71:$AB71,1,10-'假设'!D27),0)</x:f>
        <x:v>0</x:v>
      </x:c>
      <x:c r="O72" s="8" t="n">
        <x:f>IF(11&gt;'假设'!D27,INDEX($E71:$AB71,1,11-'假设'!D27),0)</x:f>
        <x:v>2.4</x:v>
      </x:c>
      <x:c r="P72" s="8" t="n">
        <x:f>IF(12&gt;'假设'!D27,INDEX($E71:$AB71,1,12-'假设'!D27),0)</x:f>
        <x:v>5.6</x:v>
      </x:c>
      <x:c r="Q72" s="8" t="n">
        <x:f>IF(13&gt;'假设'!D27,INDEX($E71:$AB71,1,13-'假设'!D27),0)</x:f>
        <x:v>0</x:v>
      </x:c>
      <x:c r="R72" s="8" t="n">
        <x:f>IF(14&gt;'假设'!D27,INDEX($E71:$AB71,1,14-'假设'!D27),0)</x:f>
        <x:v>0</x:v>
      </x:c>
      <x:c r="S72" s="8" t="n">
        <x:f>IF(15&gt;'假设'!D27,INDEX($E71:$AB71,1,15-'假设'!D27),0)</x:f>
        <x:v>0</x:v>
      </x:c>
      <x:c r="T72" s="8" t="n">
        <x:f>IF(16&gt;'假设'!D27,INDEX($E71:$AB71,1,16-'假设'!D27),0)</x:f>
        <x:v>0</x:v>
      </x:c>
      <x:c r="U72" s="8" t="n">
        <x:f>IF(17&gt;'假设'!D27,INDEX($E71:$AB71,1,17-'假设'!D27),0)</x:f>
        <x:v>0</x:v>
      </x:c>
      <x:c r="V72" s="8" t="n">
        <x:f>IF(18&gt;'假设'!D27,INDEX($E71:$AB71,1,18-'假设'!D27),0)</x:f>
        <x:v>0</x:v>
      </x:c>
      <x:c r="W72" s="8" t="n">
        <x:f>IF(19&gt;'假设'!D27,INDEX($E71:$AB71,1,19-'假设'!D27),0)</x:f>
        <x:v>0</x:v>
      </x:c>
      <x:c r="X72" s="8" t="n">
        <x:f>IF(20&gt;'假设'!D27,INDEX($E71:$AB71,1,20-'假设'!D27),0)</x:f>
        <x:v>0</x:v>
      </x:c>
      <x:c r="Y72" s="8" t="n">
        <x:f>IF(21&gt;'假设'!D27,INDEX($E71:$AB71,1,21-'假设'!D27),0)</x:f>
        <x:v>0</x:v>
      </x:c>
      <x:c r="Z72" s="8" t="n">
        <x:f>IF(22&gt;'假设'!D27,INDEX($E71:$AB71,1,22-'假设'!D27),0)</x:f>
        <x:v>0</x:v>
      </x:c>
      <x:c r="AA72" s="8" t="n">
        <x:f>IF(23&gt;'假设'!D27,INDEX($E71:$AB71,1,23-'假设'!D27),0)</x:f>
        <x:v>0</x:v>
      </x:c>
      <x:c r="AB72" s="8" t="n">
        <x:f>IF(24&gt;'假设'!D27,INDEX($E71:$AB71,1,24-'假设'!D27),0)</x:f>
        <x:v>0</x:v>
      </x:c>
    </x:row>
    <x:row r="73" ht="23" customHeight="1">
      <x:c r="A73" s="1"/>
      <x:c r="B73" s="1"/>
      <x:c r="C73" s="1" t="str">
        <x:v>P08</x:v>
      </x:c>
      <x:c r="D73" s="1" t="str">
        <x:v>直接损益成本</x:v>
      </x:c>
      <x:c r="E73" s="8" t="n">
        <x:f>IF(1='合同排期'!I13,'合同排期'!N13,0)+IF(AND(1&gt;='合同排期'!J13,1&lt;'合同排期'!J13+12),'合同排期'!O13,0)+E69*'假设'!D47</x:f>
        <x:v>0</x:v>
      </x:c>
      <x:c r="F73" s="8" t="n">
        <x:f>IF(2='合同排期'!I13,'合同排期'!N13,0)+IF(AND(2&gt;='合同排期'!J13,2&lt;'合同排期'!J13+12),'合同排期'!O13,0)+F69*'假设'!D47</x:f>
        <x:v>0</x:v>
      </x:c>
      <x:c r="G73" s="8" t="n">
        <x:f>IF(3='合同排期'!I13,'合同排期'!N13,0)+IF(AND(3&gt;='合同排期'!J13,3&lt;'合同排期'!J13+12),'合同排期'!O13,0)+G69*'假设'!D47</x:f>
        <x:v>0</x:v>
      </x:c>
      <x:c r="H73" s="8" t="n">
        <x:f>IF(4='合同排期'!I13,'合同排期'!N13,0)+IF(AND(4&gt;='合同排期'!J13,4&lt;'合同排期'!J13+12),'合同排期'!O13,0)+H69*'假设'!D47</x:f>
        <x:v>0</x:v>
      </x:c>
      <x:c r="I73" s="8" t="n">
        <x:f>IF(5='合同排期'!I13,'合同排期'!N13,0)+IF(AND(5&gt;='合同排期'!J13,5&lt;'合同排期'!J13+12),'合同排期'!O13,0)+I69*'假设'!D47</x:f>
        <x:v>0</x:v>
      </x:c>
      <x:c r="J73" s="8" t="n">
        <x:f>IF(6='合同排期'!I13,'合同排期'!N13,0)+IF(AND(6&gt;='合同排期'!J13,6&lt;'合同排期'!J13+12),'合同排期'!O13,0)+J69*'假设'!D47</x:f>
        <x:v>0</x:v>
      </x:c>
      <x:c r="K73" s="8" t="n">
        <x:f>IF(7='合同排期'!I13,'合同排期'!N13,0)+IF(AND(7&gt;='合同排期'!J13,7&lt;'合同排期'!J13+12),'合同排期'!O13,0)+K69*'假设'!D47</x:f>
        <x:v>0</x:v>
      </x:c>
      <x:c r="L73" s="8" t="n">
        <x:f>IF(8='合同排期'!I13,'合同排期'!N13,0)+IF(AND(8&gt;='合同排期'!J13,8&lt;'合同排期'!J13+12),'合同排期'!O13,0)+L69*'假设'!D47</x:f>
        <x:v>0</x:v>
      </x:c>
      <x:c r="M73" s="8" t="n">
        <x:f>IF(9='合同排期'!I13,'合同排期'!N13,0)+IF(AND(9&gt;='合同排期'!J13,9&lt;'合同排期'!J13+12),'合同排期'!O13,0)+M69*'假设'!D47</x:f>
        <x:v>0</x:v>
      </x:c>
      <x:c r="N73" s="8" t="n">
        <x:f>IF(10='合同排期'!I13,'合同排期'!N13,0)+IF(AND(10&gt;='合同排期'!J13,10&lt;'合同排期'!J13+12),'合同排期'!O13,0)+N69*'假设'!D47</x:f>
        <x:v>0.4</x:v>
      </x:c>
      <x:c r="O73" s="8" t="n">
        <x:f>IF(11='合同排期'!I13,'合同排期'!N13,0)+IF(AND(11&gt;='合同排期'!J13,11&lt;'合同排期'!J13+12),'合同排期'!O13,0)+O69*'假设'!D47</x:f>
        <x:v>3.7</x:v>
      </x:c>
      <x:c r="P73" s="8" t="n">
        <x:f>IF(12='合同排期'!I13,'合同排期'!N13,0)+IF(AND(12&gt;='合同排期'!J13,12&lt;'合同排期'!J13+12),'合同排期'!O13,0)+P69*'假设'!D47</x:f>
        <x:v>0</x:v>
      </x:c>
      <x:c r="Q73" s="8" t="n">
        <x:f>IF(13='合同排期'!I13,'合同排期'!N13,0)+IF(AND(13&gt;='合同排期'!J13,13&lt;'合同排期'!J13+12),'合同排期'!O13,0)+Q69*'假设'!D47</x:f>
        <x:v>0</x:v>
      </x:c>
      <x:c r="R73" s="8" t="n">
        <x:f>IF(14='合同排期'!I13,'合同排期'!N13,0)+IF(AND(14&gt;='合同排期'!J13,14&lt;'合同排期'!J13+12),'合同排期'!O13,0)+R69*'假设'!D47</x:f>
        <x:v>0</x:v>
      </x:c>
      <x:c r="S73" s="8" t="n">
        <x:f>IF(15='合同排期'!I13,'合同排期'!N13,0)+IF(AND(15&gt;='合同排期'!J13,15&lt;'合同排期'!J13+12),'合同排期'!O13,0)+S69*'假设'!D47</x:f>
        <x:v>0</x:v>
      </x:c>
      <x:c r="T73" s="8" t="n">
        <x:f>IF(16='合同排期'!I13,'合同排期'!N13,0)+IF(AND(16&gt;='合同排期'!J13,16&lt;'合同排期'!J13+12),'合同排期'!O13,0)+T69*'假设'!D47</x:f>
        <x:v>0</x:v>
      </x:c>
      <x:c r="U73" s="8" t="n">
        <x:f>IF(17='合同排期'!I13,'合同排期'!N13,0)+IF(AND(17&gt;='合同排期'!J13,17&lt;'合同排期'!J13+12),'合同排期'!O13,0)+U69*'假设'!D47</x:f>
        <x:v>0</x:v>
      </x:c>
      <x:c r="V73" s="8" t="n">
        <x:f>IF(18='合同排期'!I13,'合同排期'!N13,0)+IF(AND(18&gt;='合同排期'!J13,18&lt;'合同排期'!J13+12),'合同排期'!O13,0)+V69*'假设'!D47</x:f>
        <x:v>0</x:v>
      </x:c>
      <x:c r="W73" s="8" t="n">
        <x:f>IF(19='合同排期'!I13,'合同排期'!N13,0)+IF(AND(19&gt;='合同排期'!J13,19&lt;'合同排期'!J13+12),'合同排期'!O13,0)+W69*'假设'!D47</x:f>
        <x:v>0</x:v>
      </x:c>
      <x:c r="X73" s="8" t="n">
        <x:f>IF(20='合同排期'!I13,'合同排期'!N13,0)+IF(AND(20&gt;='合同排期'!J13,20&lt;'合同排期'!J13+12),'合同排期'!O13,0)+X69*'假设'!D47</x:f>
        <x:v>0</x:v>
      </x:c>
      <x:c r="Y73" s="8" t="n">
        <x:f>IF(21='合同排期'!I13,'合同排期'!N13,0)+IF(AND(21&gt;='合同排期'!J13,21&lt;'合同排期'!J13+12),'合同排期'!O13,0)+Y69*'假设'!D47</x:f>
        <x:v>0</x:v>
      </x:c>
      <x:c r="Z73" s="8" t="n">
        <x:f>IF(22='合同排期'!I13,'合同排期'!N13,0)+IF(AND(22&gt;='合同排期'!J13,22&lt;'合同排期'!J13+12),'合同排期'!O13,0)+Z69*'假设'!D47</x:f>
        <x:v>0</x:v>
      </x:c>
      <x:c r="AA73" s="8" t="n">
        <x:f>IF(23='合同排期'!I13,'合同排期'!N13,0)+IF(AND(23&gt;='合同排期'!J13,23&lt;'合同排期'!J13+12),'合同排期'!O13,0)+AA69*'假设'!D47</x:f>
        <x:v>0</x:v>
      </x:c>
      <x:c r="AB73" s="8" t="n">
        <x:f>IF(24='合同排期'!I13,'合同排期'!N13,0)+IF(AND(24&gt;='合同排期'!J13,24&lt;'合同排期'!J13+12),'合同排期'!O13,0)+AB69*'假设'!D47</x:f>
        <x:v>0</x:v>
      </x:c>
    </x:row>
    <x:row r="74" ht="23" customHeight="1">
      <x:c r="A74" s="1"/>
      <x:c r="B74" s="1"/>
      <x:c r="C74" s="1" t="str">
        <x:v>P08</x:v>
      </x:c>
      <x:c r="D74" s="1" t="str">
        <x:v>直接现金成本</x:v>
      </x:c>
      <x:c r="E74" s="8" t="n">
        <x:f>IF(AND(1&gt;='合同排期'!H13,1&lt;='合同排期'!I13),'合同排期'!N13/('合同排期'!I13-'合同排期'!H13+1),0)+IF(AND(1&gt;='合同排期'!J13,1&lt;'合同排期'!J13+12),'合同排期'!O13,0)+E72*'假设'!D47</x:f>
        <x:v>0</x:v>
      </x:c>
      <x:c r="F74" s="8" t="n">
        <x:f>IF(AND(2&gt;='合同排期'!H13,2&lt;='合同排期'!I13),'合同排期'!N13/('合同排期'!I13-'合同排期'!H13+1),0)+IF(AND(2&gt;='合同排期'!J13,2&lt;'合同排期'!J13+12),'合同排期'!O13,0)+F72*'假设'!D47</x:f>
        <x:v>0</x:v>
      </x:c>
      <x:c r="G74" s="8" t="n">
        <x:f>IF(AND(3&gt;='合同排期'!H13,3&lt;='合同排期'!I13),'合同排期'!N13/('合同排期'!I13-'合同排期'!H13+1),0)+IF(AND(3&gt;='合同排期'!J13,3&lt;'合同排期'!J13+12),'合同排期'!O13,0)+G72*'假设'!D47</x:f>
        <x:v>0</x:v>
      </x:c>
      <x:c r="H74" s="8" t="n">
        <x:f>IF(AND(4&gt;='合同排期'!H13,4&lt;='合同排期'!I13),'合同排期'!N13/('合同排期'!I13-'合同排期'!H13+1),0)+IF(AND(4&gt;='合同排期'!J13,4&lt;'合同排期'!J13+12),'合同排期'!O13,0)+H72*'假设'!D47</x:f>
        <x:v>0</x:v>
      </x:c>
      <x:c r="I74" s="8" t="n">
        <x:f>IF(AND(5&gt;='合同排期'!H13,5&lt;='合同排期'!I13),'合同排期'!N13/('合同排期'!I13-'合同排期'!H13+1),0)+IF(AND(5&gt;='合同排期'!J13,5&lt;'合同排期'!J13+12),'合同排期'!O13,0)+I72*'假设'!D47</x:f>
        <x:v>0</x:v>
      </x:c>
      <x:c r="J74" s="8" t="n">
        <x:f>IF(AND(6&gt;='合同排期'!H13,6&lt;='合同排期'!I13),'合同排期'!N13/('合同排期'!I13-'合同排期'!H13+1),0)+IF(AND(6&gt;='合同排期'!J13,6&lt;'合同排期'!J13+12),'合同排期'!O13,0)+J72*'假设'!D47</x:f>
        <x:v>0</x:v>
      </x:c>
      <x:c r="K74" s="8" t="n">
        <x:f>IF(AND(7&gt;='合同排期'!H13,7&lt;='合同排期'!I13),'合同排期'!N13/('合同排期'!I13-'合同排期'!H13+1),0)+IF(AND(7&gt;='合同排期'!J13,7&lt;'合同排期'!J13+12),'合同排期'!O13,0)+K72*'假设'!D47</x:f>
        <x:v>0</x:v>
      </x:c>
      <x:c r="L74" s="8" t="n">
        <x:f>IF(AND(8&gt;='合同排期'!H13,8&lt;='合同排期'!I13),'合同排期'!N13/('合同排期'!I13-'合同排期'!H13+1),0)+IF(AND(8&gt;='合同排期'!J13,8&lt;'合同排期'!J13+12),'合同排期'!O13,0)+L72*'假设'!D47</x:f>
        <x:v>0</x:v>
      </x:c>
      <x:c r="M74" s="8" t="n">
        <x:f>IF(AND(9&gt;='合同排期'!H13,9&lt;='合同排期'!I13),'合同排期'!N13/('合同排期'!I13-'合同排期'!H13+1),0)+IF(AND(9&gt;='合同排期'!J13,9&lt;'合同排期'!J13+12),'合同排期'!O13,0)+M72*'假设'!D47</x:f>
        <x:v>0</x:v>
      </x:c>
      <x:c r="N74" s="8" t="n">
        <x:f>IF(AND(10&gt;='合同排期'!H13,10&lt;='合同排期'!I13),'合同排期'!N13/('合同排期'!I13-'合同排期'!H13+1),0)+IF(AND(10&gt;='合同排期'!J13,10&lt;'合同排期'!J13+12),'合同排期'!O13,0)+N72*'假设'!D47</x:f>
        <x:v>1.85</x:v>
      </x:c>
      <x:c r="O74" s="8" t="n">
        <x:f>IF(AND(11&gt;='合同排期'!H13,11&lt;='合同排期'!I13),'合同排期'!N13/('合同排期'!I13-'合同排期'!H13+1),0)+IF(AND(11&gt;='合同排期'!J13,11&lt;'合同排期'!J13+12),'合同排期'!O13,0)+O72*'假设'!D47</x:f>
        <x:v>1.9700000000000002</x:v>
      </x:c>
      <x:c r="P74" s="8" t="n">
        <x:f>IF(AND(12&gt;='合同排期'!H13,12&lt;='合同排期'!I13),'合同排期'!N13/('合同排期'!I13-'合同排期'!H13+1),0)+IF(AND(12&gt;='合同排期'!J13,12&lt;'合同排期'!J13+12),'合同排期'!O13,0)+P72*'假设'!D47</x:f>
        <x:v>0.27999999999999997</x:v>
      </x:c>
      <x:c r="Q74" s="8" t="n">
        <x:f>IF(AND(13&gt;='合同排期'!H13,13&lt;='合同排期'!I13),'合同排期'!N13/('合同排期'!I13-'合同排期'!H13+1),0)+IF(AND(13&gt;='合同排期'!J13,13&lt;'合同排期'!J13+12),'合同排期'!O13,0)+Q72*'假设'!D47</x:f>
        <x:v>0</x:v>
      </x:c>
      <x:c r="R74" s="8" t="n">
        <x:f>IF(AND(14&gt;='合同排期'!H13,14&lt;='合同排期'!I13),'合同排期'!N13/('合同排期'!I13-'合同排期'!H13+1),0)+IF(AND(14&gt;='合同排期'!J13,14&lt;'合同排期'!J13+12),'合同排期'!O13,0)+R72*'假设'!D47</x:f>
        <x:v>0</x:v>
      </x:c>
      <x:c r="S74" s="8" t="n">
        <x:f>IF(AND(15&gt;='合同排期'!H13,15&lt;='合同排期'!I13),'合同排期'!N13/('合同排期'!I13-'合同排期'!H13+1),0)+IF(AND(15&gt;='合同排期'!J13,15&lt;'合同排期'!J13+12),'合同排期'!O13,0)+S72*'假设'!D47</x:f>
        <x:v>0</x:v>
      </x:c>
      <x:c r="T74" s="8" t="n">
        <x:f>IF(AND(16&gt;='合同排期'!H13,16&lt;='合同排期'!I13),'合同排期'!N13/('合同排期'!I13-'合同排期'!H13+1),0)+IF(AND(16&gt;='合同排期'!J13,16&lt;'合同排期'!J13+12),'合同排期'!O13,0)+T72*'假设'!D47</x:f>
        <x:v>0</x:v>
      </x:c>
      <x:c r="U74" s="8" t="n">
        <x:f>IF(AND(17&gt;='合同排期'!H13,17&lt;='合同排期'!I13),'合同排期'!N13/('合同排期'!I13-'合同排期'!H13+1),0)+IF(AND(17&gt;='合同排期'!J13,17&lt;'合同排期'!J13+12),'合同排期'!O13,0)+U72*'假设'!D47</x:f>
        <x:v>0</x:v>
      </x:c>
      <x:c r="V74" s="8" t="n">
        <x:f>IF(AND(18&gt;='合同排期'!H13,18&lt;='合同排期'!I13),'合同排期'!N13/('合同排期'!I13-'合同排期'!H13+1),0)+IF(AND(18&gt;='合同排期'!J13,18&lt;'合同排期'!J13+12),'合同排期'!O13,0)+V72*'假设'!D47</x:f>
        <x:v>0</x:v>
      </x:c>
      <x:c r="W74" s="8" t="n">
        <x:f>IF(AND(19&gt;='合同排期'!H13,19&lt;='合同排期'!I13),'合同排期'!N13/('合同排期'!I13-'合同排期'!H13+1),0)+IF(AND(19&gt;='合同排期'!J13,19&lt;'合同排期'!J13+12),'合同排期'!O13,0)+W72*'假设'!D47</x:f>
        <x:v>0</x:v>
      </x:c>
      <x:c r="X74" s="8" t="n">
        <x:f>IF(AND(20&gt;='合同排期'!H13,20&lt;='合同排期'!I13),'合同排期'!N13/('合同排期'!I13-'合同排期'!H13+1),0)+IF(AND(20&gt;='合同排期'!J13,20&lt;'合同排期'!J13+12),'合同排期'!O13,0)+X72*'假设'!D47</x:f>
        <x:v>0</x:v>
      </x:c>
      <x:c r="Y74" s="8" t="n">
        <x:f>IF(AND(21&gt;='合同排期'!H13,21&lt;='合同排期'!I13),'合同排期'!N13/('合同排期'!I13-'合同排期'!H13+1),0)+IF(AND(21&gt;='合同排期'!J13,21&lt;'合同排期'!J13+12),'合同排期'!O13,0)+Y72*'假设'!D47</x:f>
        <x:v>0</x:v>
      </x:c>
      <x:c r="Z74" s="8" t="n">
        <x:f>IF(AND(22&gt;='合同排期'!H13,22&lt;='合同排期'!I13),'合同排期'!N13/('合同排期'!I13-'合同排期'!H13+1),0)+IF(AND(22&gt;='合同排期'!J13,22&lt;'合同排期'!J13+12),'合同排期'!O13,0)+Z72*'假设'!D47</x:f>
        <x:v>0</x:v>
      </x:c>
      <x:c r="AA74" s="8" t="n">
        <x:f>IF(AND(23&gt;='合同排期'!H13,23&lt;='合同排期'!I13),'合同排期'!N13/('合同排期'!I13-'合同排期'!H13+1),0)+IF(AND(23&gt;='合同排期'!J13,23&lt;'合同排期'!J13+12),'合同排期'!O13,0)+AA72*'假设'!D47</x:f>
        <x:v>0</x:v>
      </x:c>
      <x:c r="AB74" s="8" t="n">
        <x:f>IF(AND(24&gt;='合同排期'!H13,24&lt;='合同排期'!I13),'合同排期'!N13/('合同排期'!I13-'合同排期'!H13+1),0)+IF(AND(24&gt;='合同排期'!J13,24&lt;'合同排期'!J13+12),'合同排期'!O13,0)+AB72*'假设'!D47</x:f>
        <x:v>0</x:v>
      </x:c>
    </x:row>
    <x:row r="75" ht="23" customHeight="1">
      <x:c r="A75" s="1"/>
      <x:c r="B75" s="1"/>
      <x:c r="C75" s="1" t="str">
        <x:v>P08</x:v>
      </x:c>
      <x:c r="D75" s="1" t="str">
        <x:v>工程交付人月</x:v>
      </x:c>
      <x:c r="E75" s="8" t="n">
        <x:f>IF(AND(1&gt;='合同排期'!H13,1&lt;='合同排期'!I13),'合同排期'!M13/('合同排期'!I13-'合同排期'!H13+1),0)</x:f>
        <x:v>0</x:v>
      </x:c>
      <x:c r="F75" s="8" t="n">
        <x:f>IF(AND(2&gt;='合同排期'!H13,2&lt;='合同排期'!I13),'合同排期'!M13/('合同排期'!I13-'合同排期'!H13+1),0)</x:f>
        <x:v>0</x:v>
      </x:c>
      <x:c r="G75" s="8" t="n">
        <x:f>IF(AND(3&gt;='合同排期'!H13,3&lt;='合同排期'!I13),'合同排期'!M13/('合同排期'!I13-'合同排期'!H13+1),0)</x:f>
        <x:v>0</x:v>
      </x:c>
      <x:c r="H75" s="8" t="n">
        <x:f>IF(AND(4&gt;='合同排期'!H13,4&lt;='合同排期'!I13),'合同排期'!M13/('合同排期'!I13-'合同排期'!H13+1),0)</x:f>
        <x:v>0</x:v>
      </x:c>
      <x:c r="I75" s="8" t="n">
        <x:f>IF(AND(5&gt;='合同排期'!H13,5&lt;='合同排期'!I13),'合同排期'!M13/('合同排期'!I13-'合同排期'!H13+1),0)</x:f>
        <x:v>0</x:v>
      </x:c>
      <x:c r="J75" s="8" t="n">
        <x:f>IF(AND(6&gt;='合同排期'!H13,6&lt;='合同排期'!I13),'合同排期'!M13/('合同排期'!I13-'合同排期'!H13+1),0)</x:f>
        <x:v>0</x:v>
      </x:c>
      <x:c r="K75" s="8" t="n">
        <x:f>IF(AND(7&gt;='合同排期'!H13,7&lt;='合同排期'!I13),'合同排期'!M13/('合同排期'!I13-'合同排期'!H13+1),0)</x:f>
        <x:v>0</x:v>
      </x:c>
      <x:c r="L75" s="8" t="n">
        <x:f>IF(AND(8&gt;='合同排期'!H13,8&lt;='合同排期'!I13),'合同排期'!M13/('合同排期'!I13-'合同排期'!H13+1),0)</x:f>
        <x:v>0</x:v>
      </x:c>
      <x:c r="M75" s="8" t="n">
        <x:f>IF(AND(9&gt;='合同排期'!H13,9&lt;='合同排期'!I13),'合同排期'!M13/('合同排期'!I13-'合同排期'!H13+1),0)</x:f>
        <x:v>0</x:v>
      </x:c>
      <x:c r="N75" s="8" t="n">
        <x:f>IF(AND(10&gt;='合同排期'!H13,10&lt;='合同排期'!I13),'合同排期'!M13/('合同排期'!I13-'合同排期'!H13+1),0)</x:f>
        <x:v>1.5</x:v>
      </x:c>
      <x:c r="O75" s="8" t="n">
        <x:f>IF(AND(11&gt;='合同排期'!H13,11&lt;='合同排期'!I13),'合同排期'!M13/('合同排期'!I13-'合同排期'!H13+1),0)</x:f>
        <x:v>1.5</x:v>
      </x:c>
      <x:c r="P75" s="8" t="n">
        <x:f>IF(AND(12&gt;='合同排期'!H13,12&lt;='合同排期'!I13),'合同排期'!M13/('合同排期'!I13-'合同排期'!H13+1),0)</x:f>
        <x:v>0</x:v>
      </x:c>
      <x:c r="Q75" s="8" t="n">
        <x:f>IF(AND(13&gt;='合同排期'!H13,13&lt;='合同排期'!I13),'合同排期'!M13/('合同排期'!I13-'合同排期'!H13+1),0)</x:f>
        <x:v>0</x:v>
      </x:c>
      <x:c r="R75" s="8" t="n">
        <x:f>IF(AND(14&gt;='合同排期'!H13,14&lt;='合同排期'!I13),'合同排期'!M13/('合同排期'!I13-'合同排期'!H13+1),0)</x:f>
        <x:v>0</x:v>
      </x:c>
      <x:c r="S75" s="8" t="n">
        <x:f>IF(AND(15&gt;='合同排期'!H13,15&lt;='合同排期'!I13),'合同排期'!M13/('合同排期'!I13-'合同排期'!H13+1),0)</x:f>
        <x:v>0</x:v>
      </x:c>
      <x:c r="T75" s="8" t="n">
        <x:f>IF(AND(16&gt;='合同排期'!H13,16&lt;='合同排期'!I13),'合同排期'!M13/('合同排期'!I13-'合同排期'!H13+1),0)</x:f>
        <x:v>0</x:v>
      </x:c>
      <x:c r="U75" s="8" t="n">
        <x:f>IF(AND(17&gt;='合同排期'!H13,17&lt;='合同排期'!I13),'合同排期'!M13/('合同排期'!I13-'合同排期'!H13+1),0)</x:f>
        <x:v>0</x:v>
      </x:c>
      <x:c r="V75" s="8" t="n">
        <x:f>IF(AND(18&gt;='合同排期'!H13,18&lt;='合同排期'!I13),'合同排期'!M13/('合同排期'!I13-'合同排期'!H13+1),0)</x:f>
        <x:v>0</x:v>
      </x:c>
      <x:c r="W75" s="8" t="n">
        <x:f>IF(AND(19&gt;='合同排期'!H13,19&lt;='合同排期'!I13),'合同排期'!M13/('合同排期'!I13-'合同排期'!H13+1),0)</x:f>
        <x:v>0</x:v>
      </x:c>
      <x:c r="X75" s="8" t="n">
        <x:f>IF(AND(20&gt;='合同排期'!H13,20&lt;='合同排期'!I13),'合同排期'!M13/('合同排期'!I13-'合同排期'!H13+1),0)</x:f>
        <x:v>0</x:v>
      </x:c>
      <x:c r="Y75" s="8" t="n">
        <x:f>IF(AND(21&gt;='合同排期'!H13,21&lt;='合同排期'!I13),'合同排期'!M13/('合同排期'!I13-'合同排期'!H13+1),0)</x:f>
        <x:v>0</x:v>
      </x:c>
      <x:c r="Z75" s="8" t="n">
        <x:f>IF(AND(22&gt;='合同排期'!H13,22&lt;='合同排期'!I13),'合同排期'!M13/('合同排期'!I13-'合同排期'!H13+1),0)</x:f>
        <x:v>0</x:v>
      </x:c>
      <x:c r="AA75" s="8" t="n">
        <x:f>IF(AND(23&gt;='合同排期'!H13,23&lt;='合同排期'!I13),'合同排期'!M13/('合同排期'!I13-'合同排期'!H13+1),0)</x:f>
        <x:v>0</x:v>
      </x:c>
      <x:c r="AB75" s="8" t="n">
        <x:f>IF(AND(24&gt;='合同排期'!H13,24&lt;='合同排期'!I13),'合同排期'!M13/('合同排期'!I13-'合同排期'!H13+1),0)</x:f>
        <x:v>0</x:v>
      </x:c>
    </x:row>
    <x:row r="76" ht="23" customHeight="1">
      <x:c r="A76" s="1"/>
      <x:c r="B76" s="1"/>
      <x:c r="C76" s="1" t="str">
        <x:v>P08</x:v>
      </x:c>
      <x:c r="D76" s="1" t="str">
        <x:v>生效ARR</x:v>
      </x:c>
      <x:c r="E76" s="8" t="n">
        <x:f>IF(AND(1&gt;='合同排期'!J13,1&lt;'合同排期'!J13+12),'合同排期'!L13,0)</x:f>
        <x:v>0</x:v>
      </x:c>
      <x:c r="F76" s="8" t="n">
        <x:f>IF(AND(2&gt;='合同排期'!J13,2&lt;'合同排期'!J13+12),'合同排期'!L13,0)</x:f>
        <x:v>0</x:v>
      </x:c>
      <x:c r="G76" s="8" t="n">
        <x:f>IF(AND(3&gt;='合同排期'!J13,3&lt;'合同排期'!J13+12),'合同排期'!L13,0)</x:f>
        <x:v>0</x:v>
      </x:c>
      <x:c r="H76" s="8" t="n">
        <x:f>IF(AND(4&gt;='合同排期'!J13,4&lt;'合同排期'!J13+12),'合同排期'!L13,0)</x:f>
        <x:v>0</x:v>
      </x:c>
      <x:c r="I76" s="8" t="n">
        <x:f>IF(AND(5&gt;='合同排期'!J13,5&lt;'合同排期'!J13+12),'合同排期'!L13,0)</x:f>
        <x:v>0</x:v>
      </x:c>
      <x:c r="J76" s="8" t="n">
        <x:f>IF(AND(6&gt;='合同排期'!J13,6&lt;'合同排期'!J13+12),'合同排期'!L13,0)</x:f>
        <x:v>0</x:v>
      </x:c>
      <x:c r="K76" s="8" t="n">
        <x:f>IF(AND(7&gt;='合同排期'!J13,7&lt;'合同排期'!J13+12),'合同排期'!L13,0)</x:f>
        <x:v>0</x:v>
      </x:c>
      <x:c r="L76" s="8" t="n">
        <x:f>IF(AND(8&gt;='合同排期'!J13,8&lt;'合同排期'!J13+12),'合同排期'!L13,0)</x:f>
        <x:v>0</x:v>
      </x:c>
      <x:c r="M76" s="8" t="n">
        <x:f>IF(AND(9&gt;='合同排期'!J13,9&lt;'合同排期'!J13+12),'合同排期'!L13,0)</x:f>
        <x:v>0</x:v>
      </x:c>
      <x:c r="N76" s="8" t="n">
        <x:f>IF(AND(10&gt;='合同排期'!J13,10&lt;'合同排期'!J13+12),'合同排期'!L13,0)</x:f>
        <x:v>0</x:v>
      </x:c>
      <x:c r="O76" s="8" t="n">
        <x:f>IF(AND(11&gt;='合同排期'!J13,11&lt;'合同排期'!J13+12),'合同排期'!L13,0)</x:f>
        <x:v>0</x:v>
      </x:c>
      <x:c r="P76" s="8" t="n">
        <x:f>IF(AND(12&gt;='合同排期'!J13,12&lt;'合同排期'!J13+12),'合同排期'!L13,0)</x:f>
        <x:v>0</x:v>
      </x:c>
      <x:c r="Q76" s="8" t="n">
        <x:f>IF(AND(13&gt;='合同排期'!J13,13&lt;'合同排期'!J13+12),'合同排期'!L13,0)</x:f>
        <x:v>0</x:v>
      </x:c>
      <x:c r="R76" s="8" t="n">
        <x:f>IF(AND(14&gt;='合同排期'!J13,14&lt;'合同排期'!J13+12),'合同排期'!L13,0)</x:f>
        <x:v>0</x:v>
      </x:c>
      <x:c r="S76" s="8" t="n">
        <x:f>IF(AND(15&gt;='合同排期'!J13,15&lt;'合同排期'!J13+12),'合同排期'!L13,0)</x:f>
        <x:v>0</x:v>
      </x:c>
      <x:c r="T76" s="8" t="n">
        <x:f>IF(AND(16&gt;='合同排期'!J13,16&lt;'合同排期'!J13+12),'合同排期'!L13,0)</x:f>
        <x:v>0</x:v>
      </x:c>
      <x:c r="U76" s="8" t="n">
        <x:f>IF(AND(17&gt;='合同排期'!J13,17&lt;'合同排期'!J13+12),'合同排期'!L13,0)</x:f>
        <x:v>0</x:v>
      </x:c>
      <x:c r="V76" s="8" t="n">
        <x:f>IF(AND(18&gt;='合同排期'!J13,18&lt;'合同排期'!J13+12),'合同排期'!L13,0)</x:f>
        <x:v>0</x:v>
      </x:c>
      <x:c r="W76" s="8" t="n">
        <x:f>IF(AND(19&gt;='合同排期'!J13,19&lt;'合同排期'!J13+12),'合同排期'!L13,0)</x:f>
        <x:v>0</x:v>
      </x:c>
      <x:c r="X76" s="8" t="n">
        <x:f>IF(AND(20&gt;='合同排期'!J13,20&lt;'合同排期'!J13+12),'合同排期'!L13,0)</x:f>
        <x:v>0</x:v>
      </x:c>
      <x:c r="Y76" s="8" t="n">
        <x:f>IF(AND(21&gt;='合同排期'!J13,21&lt;'合同排期'!J13+12),'合同排期'!L13,0)</x:f>
        <x:v>0</x:v>
      </x:c>
      <x:c r="Z76" s="8" t="n">
        <x:f>IF(AND(22&gt;='合同排期'!J13,22&lt;'合同排期'!J13+12),'合同排期'!L13,0)</x:f>
        <x:v>0</x:v>
      </x:c>
      <x:c r="AA76" s="8" t="n">
        <x:f>IF(AND(23&gt;='合同排期'!J13,23&lt;'合同排期'!J13+12),'合同排期'!L13,0)</x:f>
        <x:v>0</x:v>
      </x:c>
      <x:c r="AB76" s="8" t="n">
        <x:f>IF(AND(24&gt;='合同排期'!J13,24&lt;'合同排期'!J13+12),'合同排期'!L13,0)</x:f>
        <x:v>0</x:v>
      </x:c>
    </x:row>
    <x:row r="77" ht="23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  <x:c r="AA77" s="1"/>
      <x:c r="AB77" s="1"/>
    </x:row>
    <x:row r="78" ht="23" customHeight="1">
      <x:c r="A78" s="1"/>
      <x:c r="B78" s="1"/>
      <x:c r="C78" s="1" t="str">
        <x:v>P09</x:v>
      </x:c>
      <x:c r="D78" s="1" t="str">
        <x:v>净签约</x:v>
      </x:c>
      <x:c r="E78" s="8" t="n">
        <x:f>IF(1='合同排期'!H14,'合同排期'!K14+'合同排期'!L14,0)</x:f>
        <x:v>0</x:v>
      </x:c>
      <x:c r="F78" s="8" t="n">
        <x:f>IF(2='合同排期'!H14,'合同排期'!K14+'合同排期'!L14,0)</x:f>
        <x:v>0</x:v>
      </x:c>
      <x:c r="G78" s="8" t="n">
        <x:f>IF(3='合同排期'!H14,'合同排期'!K14+'合同排期'!L14,0)</x:f>
        <x:v>0</x:v>
      </x:c>
      <x:c r="H78" s="8" t="n">
        <x:f>IF(4='合同排期'!H14,'合同排期'!K14+'合同排期'!L14,0)</x:f>
        <x:v>0</x:v>
      </x:c>
      <x:c r="I78" s="8" t="n">
        <x:f>IF(5='合同排期'!H14,'合同排期'!K14+'合同排期'!L14,0)</x:f>
        <x:v>0</x:v>
      </x:c>
      <x:c r="J78" s="8" t="n">
        <x:f>IF(6='合同排期'!H14,'合同排期'!K14+'合同排期'!L14,0)</x:f>
        <x:v>0</x:v>
      </x:c>
      <x:c r="K78" s="8" t="n">
        <x:f>IF(7='合同排期'!H14,'合同排期'!K14+'合同排期'!L14,0)</x:f>
        <x:v>0</x:v>
      </x:c>
      <x:c r="L78" s="8" t="n">
        <x:f>IF(8='合同排期'!H14,'合同排期'!K14+'合同排期'!L14,0)</x:f>
        <x:v>0</x:v>
      </x:c>
      <x:c r="M78" s="8" t="n">
        <x:f>IF(9='合同排期'!H14,'合同排期'!K14+'合同排期'!L14,0)</x:f>
        <x:v>0</x:v>
      </x:c>
      <x:c r="N78" s="8" t="n">
        <x:f>IF(10='合同排期'!H14,'合同排期'!K14+'合同排期'!L14,0)</x:f>
        <x:v>0</x:v>
      </x:c>
      <x:c r="O78" s="8" t="n">
        <x:f>IF(11='合同排期'!H14,'合同排期'!K14+'合同排期'!L14,0)</x:f>
        <x:v>0</x:v>
      </x:c>
      <x:c r="P78" s="8" t="n">
        <x:f>IF(12='合同排期'!H14,'合同排期'!K14+'合同排期'!L14,0)</x:f>
        <x:v>0</x:v>
      </x:c>
      <x:c r="Q78" s="8" t="n">
        <x:f>IF(13='合同排期'!H14,'合同排期'!K14+'合同排期'!L14,0)</x:f>
        <x:v>0</x:v>
      </x:c>
      <x:c r="R78" s="8" t="n">
        <x:f>IF(14='合同排期'!H14,'合同排期'!K14+'合同排期'!L14,0)</x:f>
        <x:v>0</x:v>
      </x:c>
      <x:c r="S78" s="8" t="n">
        <x:f>IF(15='合同排期'!H14,'合同排期'!K14+'合同排期'!L14,0)</x:f>
        <x:v>0</x:v>
      </x:c>
      <x:c r="T78" s="8" t="n">
        <x:f>IF(16='合同排期'!H14,'合同排期'!K14+'合同排期'!L14,0)</x:f>
        <x:v>0</x:v>
      </x:c>
      <x:c r="U78" s="8" t="n">
        <x:f>IF(17='合同排期'!H14,'合同排期'!K14+'合同排期'!L14,0)</x:f>
        <x:v>0</x:v>
      </x:c>
      <x:c r="V78" s="8" t="n">
        <x:f>IF(18='合同排期'!H14,'合同排期'!K14+'合同排期'!L14,0)</x:f>
        <x:v>0</x:v>
      </x:c>
      <x:c r="W78" s="8" t="n">
        <x:f>IF(19='合同排期'!H14,'合同排期'!K14+'合同排期'!L14,0)</x:f>
        <x:v>0</x:v>
      </x:c>
      <x:c r="X78" s="8" t="n">
        <x:f>IF(20='合同排期'!H14,'合同排期'!K14+'合同排期'!L14,0)</x:f>
        <x:v>0</x:v>
      </x:c>
      <x:c r="Y78" s="8" t="n">
        <x:f>IF(21='合同排期'!H14,'合同排期'!K14+'合同排期'!L14,0)</x:f>
        <x:v>0</x:v>
      </x:c>
      <x:c r="Z78" s="8" t="n">
        <x:f>IF(22='合同排期'!H14,'合同排期'!K14+'合同排期'!L14,0)</x:f>
        <x:v>0</x:v>
      </x:c>
      <x:c r="AA78" s="8" t="n">
        <x:f>IF(23='合同排期'!H14,'合同排期'!K14+'合同排期'!L14,0)</x:f>
        <x:v>0</x:v>
      </x:c>
      <x:c r="AB78" s="8" t="n">
        <x:f>IF(24='合同排期'!H14,'合同排期'!K14+'合同排期'!L14,0)</x:f>
        <x:v>0</x:v>
      </x:c>
    </x:row>
    <x:row r="79" ht="23" customHeight="1">
      <x:c r="A79" s="1"/>
      <x:c r="B79" s="1"/>
      <x:c r="C79" s="1" t="str">
        <x:v>P09</x:v>
      </x:c>
      <x:c r="D79" s="1" t="str">
        <x:v>确认收入</x:v>
      </x:c>
      <x:c r="E79" s="8" t="n">
        <x:f>IF(1='合同排期'!I14,'合同排期'!K14,0)+IF(AND(1&gt;='合同排期'!J14,1&lt;'合同排期'!J14+12),'合同排期'!L14/12,0)</x:f>
        <x:v>0</x:v>
      </x:c>
      <x:c r="F79" s="8" t="n">
        <x:f>IF(2='合同排期'!I14,'合同排期'!K14,0)+IF(AND(2&gt;='合同排期'!J14,2&lt;'合同排期'!J14+12),'合同排期'!L14/12,0)</x:f>
        <x:v>0</x:v>
      </x:c>
      <x:c r="G79" s="8" t="n">
        <x:f>IF(3='合同排期'!I14,'合同排期'!K14,0)+IF(AND(3&gt;='合同排期'!J14,3&lt;'合同排期'!J14+12),'合同排期'!L14/12,0)</x:f>
        <x:v>0</x:v>
      </x:c>
      <x:c r="H79" s="8" t="n">
        <x:f>IF(4='合同排期'!I14,'合同排期'!K14,0)+IF(AND(4&gt;='合同排期'!J14,4&lt;'合同排期'!J14+12),'合同排期'!L14/12,0)</x:f>
        <x:v>0</x:v>
      </x:c>
      <x:c r="I79" s="8" t="n">
        <x:f>IF(5='合同排期'!I14,'合同排期'!K14,0)+IF(AND(5&gt;='合同排期'!J14,5&lt;'合同排期'!J14+12),'合同排期'!L14/12,0)</x:f>
        <x:v>0</x:v>
      </x:c>
      <x:c r="J79" s="8" t="n">
        <x:f>IF(6='合同排期'!I14,'合同排期'!K14,0)+IF(AND(6&gt;='合同排期'!J14,6&lt;'合同排期'!J14+12),'合同排期'!L14/12,0)</x:f>
        <x:v>0</x:v>
      </x:c>
      <x:c r="K79" s="8" t="n">
        <x:f>IF(7='合同排期'!I14,'合同排期'!K14,0)+IF(AND(7&gt;='合同排期'!J14,7&lt;'合同排期'!J14+12),'合同排期'!L14/12,0)</x:f>
        <x:v>0</x:v>
      </x:c>
      <x:c r="L79" s="8" t="n">
        <x:f>IF(8='合同排期'!I14,'合同排期'!K14,0)+IF(AND(8&gt;='合同排期'!J14,8&lt;'合同排期'!J14+12),'合同排期'!L14/12,0)</x:f>
        <x:v>0</x:v>
      </x:c>
      <x:c r="M79" s="8" t="n">
        <x:f>IF(9='合同排期'!I14,'合同排期'!K14,0)+IF(AND(9&gt;='合同排期'!J14,9&lt;'合同排期'!J14+12),'合同排期'!L14/12,0)</x:f>
        <x:v>0</x:v>
      </x:c>
      <x:c r="N79" s="8" t="n">
        <x:f>IF(10='合同排期'!I14,'合同排期'!K14,0)+IF(AND(10&gt;='合同排期'!J14,10&lt;'合同排期'!J14+12),'合同排期'!L14/12,0)</x:f>
        <x:v>0</x:v>
      </x:c>
      <x:c r="O79" s="8" t="n">
        <x:f>IF(11='合同排期'!I14,'合同排期'!K14,0)+IF(AND(11&gt;='合同排期'!J14,11&lt;'合同排期'!J14+12),'合同排期'!L14/12,0)</x:f>
        <x:v>0</x:v>
      </x:c>
      <x:c r="P79" s="8" t="n">
        <x:f>IF(12='合同排期'!I14,'合同排期'!K14,0)+IF(AND(12&gt;='合同排期'!J14,12&lt;'合同排期'!J14+12),'合同排期'!L14/12,0)</x:f>
        <x:v>0</x:v>
      </x:c>
      <x:c r="Q79" s="8" t="n">
        <x:f>IF(13='合同排期'!I14,'合同排期'!K14,0)+IF(AND(13&gt;='合同排期'!J14,13&lt;'合同排期'!J14+12),'合同排期'!L14/12,0)</x:f>
        <x:v>0</x:v>
      </x:c>
      <x:c r="R79" s="8" t="n">
        <x:f>IF(14='合同排期'!I14,'合同排期'!K14,0)+IF(AND(14&gt;='合同排期'!J14,14&lt;'合同排期'!J14+12),'合同排期'!L14/12,0)</x:f>
        <x:v>0</x:v>
      </x:c>
      <x:c r="S79" s="8" t="n">
        <x:f>IF(15='合同排期'!I14,'合同排期'!K14,0)+IF(AND(15&gt;='合同排期'!J14,15&lt;'合同排期'!J14+12),'合同排期'!L14/12,0)</x:f>
        <x:v>0</x:v>
      </x:c>
      <x:c r="T79" s="8" t="n">
        <x:f>IF(16='合同排期'!I14,'合同排期'!K14,0)+IF(AND(16&gt;='合同排期'!J14,16&lt;'合同排期'!J14+12),'合同排期'!L14/12,0)</x:f>
        <x:v>0</x:v>
      </x:c>
      <x:c r="U79" s="8" t="n">
        <x:f>IF(17='合同排期'!I14,'合同排期'!K14,0)+IF(AND(17&gt;='合同排期'!J14,17&lt;'合同排期'!J14+12),'合同排期'!L14/12,0)</x:f>
        <x:v>0</x:v>
      </x:c>
      <x:c r="V79" s="8" t="n">
        <x:f>IF(18='合同排期'!I14,'合同排期'!K14,0)+IF(AND(18&gt;='合同排期'!J14,18&lt;'合同排期'!J14+12),'合同排期'!L14/12,0)</x:f>
        <x:v>0</x:v>
      </x:c>
      <x:c r="W79" s="8" t="n">
        <x:f>IF(19='合同排期'!I14,'合同排期'!K14,0)+IF(AND(19&gt;='合同排期'!J14,19&lt;'合同排期'!J14+12),'合同排期'!L14/12,0)</x:f>
        <x:v>0</x:v>
      </x:c>
      <x:c r="X79" s="8" t="n">
        <x:f>IF(20='合同排期'!I14,'合同排期'!K14,0)+IF(AND(20&gt;='合同排期'!J14,20&lt;'合同排期'!J14+12),'合同排期'!L14/12,0)</x:f>
        <x:v>0</x:v>
      </x:c>
      <x:c r="Y79" s="8" t="n">
        <x:f>IF(21='合同排期'!I14,'合同排期'!K14,0)+IF(AND(21&gt;='合同排期'!J14,21&lt;'合同排期'!J14+12),'合同排期'!L14/12,0)</x:f>
        <x:v>0</x:v>
      </x:c>
      <x:c r="Z79" s="8" t="n">
        <x:f>IF(22='合同排期'!I14,'合同排期'!K14,0)+IF(AND(22&gt;='合同排期'!J14,22&lt;'合同排期'!J14+12),'合同排期'!L14/12,0)</x:f>
        <x:v>0</x:v>
      </x:c>
      <x:c r="AA79" s="8" t="n">
        <x:f>IF(23='合同排期'!I14,'合同排期'!K14,0)+IF(AND(23&gt;='合同排期'!J14,23&lt;'合同排期'!J14+12),'合同排期'!L14/12,0)</x:f>
        <x:v>0</x:v>
      </x:c>
      <x:c r="AB79" s="8" t="n">
        <x:f>IF(24='合同排期'!I14,'合同排期'!K14,0)+IF(AND(24&gt;='合同排期'!J14,24&lt;'合同排期'!J14+12),'合同排期'!L14/12,0)</x:f>
        <x:v>0</x:v>
      </x:c>
    </x:row>
    <x:row r="80" ht="23" customHeight="1">
      <x:c r="A80" s="1"/>
      <x:c r="B80" s="1"/>
      <x:c r="C80" s="1" t="str">
        <x:v>P09</x:v>
      </x:c>
      <x:c r="D80" s="1" t="str">
        <x:v>开票</x:v>
      </x:c>
      <x:c r="E80" s="8" t="n">
        <x:f>IF(1='合同排期'!H14,'合同排期'!K14*'合同排期'!P14,0)+IF(1='合同排期'!S14,'合同排期'!K14*'合同排期'!Q14,0)+IF(1='合同排期'!I14,'合同排期'!K14*'合同排期'!R14,0)+IF(1='合同排期'!J14,'合同排期'!L14,0)</x:f>
        <x:v>0</x:v>
      </x:c>
      <x:c r="F80" s="8" t="n">
        <x:f>IF(2='合同排期'!H14,'合同排期'!K14*'合同排期'!P14,0)+IF(2='合同排期'!S14,'合同排期'!K14*'合同排期'!Q14,0)+IF(2='合同排期'!I14,'合同排期'!K14*'合同排期'!R14,0)+IF(2='合同排期'!J14,'合同排期'!L14,0)</x:f>
        <x:v>0</x:v>
      </x:c>
      <x:c r="G80" s="8" t="n">
        <x:f>IF(3='合同排期'!H14,'合同排期'!K14*'合同排期'!P14,0)+IF(3='合同排期'!S14,'合同排期'!K14*'合同排期'!Q14,0)+IF(3='合同排期'!I14,'合同排期'!K14*'合同排期'!R14,0)+IF(3='合同排期'!J14,'合同排期'!L14,0)</x:f>
        <x:v>0</x:v>
      </x:c>
      <x:c r="H80" s="8" t="n">
        <x:f>IF(4='合同排期'!H14,'合同排期'!K14*'合同排期'!P14,0)+IF(4='合同排期'!S14,'合同排期'!K14*'合同排期'!Q14,0)+IF(4='合同排期'!I14,'合同排期'!K14*'合同排期'!R14,0)+IF(4='合同排期'!J14,'合同排期'!L14,0)</x:f>
        <x:v>0</x:v>
      </x:c>
      <x:c r="I80" s="8" t="n">
        <x:f>IF(5='合同排期'!H14,'合同排期'!K14*'合同排期'!P14,0)+IF(5='合同排期'!S14,'合同排期'!K14*'合同排期'!Q14,0)+IF(5='合同排期'!I14,'合同排期'!K14*'合同排期'!R14,0)+IF(5='合同排期'!J14,'合同排期'!L14,0)</x:f>
        <x:v>0</x:v>
      </x:c>
      <x:c r="J80" s="8" t="n">
        <x:f>IF(6='合同排期'!H14,'合同排期'!K14*'合同排期'!P14,0)+IF(6='合同排期'!S14,'合同排期'!K14*'合同排期'!Q14,0)+IF(6='合同排期'!I14,'合同排期'!K14*'合同排期'!R14,0)+IF(6='合同排期'!J14,'合同排期'!L14,0)</x:f>
        <x:v>0</x:v>
      </x:c>
      <x:c r="K80" s="8" t="n">
        <x:f>IF(7='合同排期'!H14,'合同排期'!K14*'合同排期'!P14,0)+IF(7='合同排期'!S14,'合同排期'!K14*'合同排期'!Q14,0)+IF(7='合同排期'!I14,'合同排期'!K14*'合同排期'!R14,0)+IF(7='合同排期'!J14,'合同排期'!L14,0)</x:f>
        <x:v>0</x:v>
      </x:c>
      <x:c r="L80" s="8" t="n">
        <x:f>IF(8='合同排期'!H14,'合同排期'!K14*'合同排期'!P14,0)+IF(8='合同排期'!S14,'合同排期'!K14*'合同排期'!Q14,0)+IF(8='合同排期'!I14,'合同排期'!K14*'合同排期'!R14,0)+IF(8='合同排期'!J14,'合同排期'!L14,0)</x:f>
        <x:v>0</x:v>
      </x:c>
      <x:c r="M80" s="8" t="n">
        <x:f>IF(9='合同排期'!H14,'合同排期'!K14*'合同排期'!P14,0)+IF(9='合同排期'!S14,'合同排期'!K14*'合同排期'!Q14,0)+IF(9='合同排期'!I14,'合同排期'!K14*'合同排期'!R14,0)+IF(9='合同排期'!J14,'合同排期'!L14,0)</x:f>
        <x:v>0</x:v>
      </x:c>
      <x:c r="N80" s="8" t="n">
        <x:f>IF(10='合同排期'!H14,'合同排期'!K14*'合同排期'!P14,0)+IF(10='合同排期'!S14,'合同排期'!K14*'合同排期'!Q14,0)+IF(10='合同排期'!I14,'合同排期'!K14*'合同排期'!R14,0)+IF(10='合同排期'!J14,'合同排期'!L14,0)</x:f>
        <x:v>0</x:v>
      </x:c>
      <x:c r="O80" s="8" t="n">
        <x:f>IF(11='合同排期'!H14,'合同排期'!K14*'合同排期'!P14,0)+IF(11='合同排期'!S14,'合同排期'!K14*'合同排期'!Q14,0)+IF(11='合同排期'!I14,'合同排期'!K14*'合同排期'!R14,0)+IF(11='合同排期'!J14,'合同排期'!L14,0)</x:f>
        <x:v>0</x:v>
      </x:c>
      <x:c r="P80" s="8" t="n">
        <x:f>IF(12='合同排期'!H14,'合同排期'!K14*'合同排期'!P14,0)+IF(12='合同排期'!S14,'合同排期'!K14*'合同排期'!Q14,0)+IF(12='合同排期'!I14,'合同排期'!K14*'合同排期'!R14,0)+IF(12='合同排期'!J14,'合同排期'!L14,0)</x:f>
        <x:v>0</x:v>
      </x:c>
      <x:c r="Q80" s="8" t="n">
        <x:f>IF(13='合同排期'!H14,'合同排期'!K14*'合同排期'!P14,0)+IF(13='合同排期'!S14,'合同排期'!K14*'合同排期'!Q14,0)+IF(13='合同排期'!I14,'合同排期'!K14*'合同排期'!R14,0)+IF(13='合同排期'!J14,'合同排期'!L14,0)</x:f>
        <x:v>0</x:v>
      </x:c>
      <x:c r="R80" s="8" t="n">
        <x:f>IF(14='合同排期'!H14,'合同排期'!K14*'合同排期'!P14,0)+IF(14='合同排期'!S14,'合同排期'!K14*'合同排期'!Q14,0)+IF(14='合同排期'!I14,'合同排期'!K14*'合同排期'!R14,0)+IF(14='合同排期'!J14,'合同排期'!L14,0)</x:f>
        <x:v>0</x:v>
      </x:c>
      <x:c r="S80" s="8" t="n">
        <x:f>IF(15='合同排期'!H14,'合同排期'!K14*'合同排期'!P14,0)+IF(15='合同排期'!S14,'合同排期'!K14*'合同排期'!Q14,0)+IF(15='合同排期'!I14,'合同排期'!K14*'合同排期'!R14,0)+IF(15='合同排期'!J14,'合同排期'!L14,0)</x:f>
        <x:v>0</x:v>
      </x:c>
      <x:c r="T80" s="8" t="n">
        <x:f>IF(16='合同排期'!H14,'合同排期'!K14*'合同排期'!P14,0)+IF(16='合同排期'!S14,'合同排期'!K14*'合同排期'!Q14,0)+IF(16='合同排期'!I14,'合同排期'!K14*'合同排期'!R14,0)+IF(16='合同排期'!J14,'合同排期'!L14,0)</x:f>
        <x:v>0</x:v>
      </x:c>
      <x:c r="U80" s="8" t="n">
        <x:f>IF(17='合同排期'!H14,'合同排期'!K14*'合同排期'!P14,0)+IF(17='合同排期'!S14,'合同排期'!K14*'合同排期'!Q14,0)+IF(17='合同排期'!I14,'合同排期'!K14*'合同排期'!R14,0)+IF(17='合同排期'!J14,'合同排期'!L14,0)</x:f>
        <x:v>0</x:v>
      </x:c>
      <x:c r="V80" s="8" t="n">
        <x:f>IF(18='合同排期'!H14,'合同排期'!K14*'合同排期'!P14,0)+IF(18='合同排期'!S14,'合同排期'!K14*'合同排期'!Q14,0)+IF(18='合同排期'!I14,'合同排期'!K14*'合同排期'!R14,0)+IF(18='合同排期'!J14,'合同排期'!L14,0)</x:f>
        <x:v>0</x:v>
      </x:c>
      <x:c r="W80" s="8" t="n">
        <x:f>IF(19='合同排期'!H14,'合同排期'!K14*'合同排期'!P14,0)+IF(19='合同排期'!S14,'合同排期'!K14*'合同排期'!Q14,0)+IF(19='合同排期'!I14,'合同排期'!K14*'合同排期'!R14,0)+IF(19='合同排期'!J14,'合同排期'!L14,0)</x:f>
        <x:v>0</x:v>
      </x:c>
      <x:c r="X80" s="8" t="n">
        <x:f>IF(20='合同排期'!H14,'合同排期'!K14*'合同排期'!P14,0)+IF(20='合同排期'!S14,'合同排期'!K14*'合同排期'!Q14,0)+IF(20='合同排期'!I14,'合同排期'!K14*'合同排期'!R14,0)+IF(20='合同排期'!J14,'合同排期'!L14,0)</x:f>
        <x:v>0</x:v>
      </x:c>
      <x:c r="Y80" s="8" t="n">
        <x:f>IF(21='合同排期'!H14,'合同排期'!K14*'合同排期'!P14,0)+IF(21='合同排期'!S14,'合同排期'!K14*'合同排期'!Q14,0)+IF(21='合同排期'!I14,'合同排期'!K14*'合同排期'!R14,0)+IF(21='合同排期'!J14,'合同排期'!L14,0)</x:f>
        <x:v>0</x:v>
      </x:c>
      <x:c r="Z80" s="8" t="n">
        <x:f>IF(22='合同排期'!H14,'合同排期'!K14*'合同排期'!P14,0)+IF(22='合同排期'!S14,'合同排期'!K14*'合同排期'!Q14,0)+IF(22='合同排期'!I14,'合同排期'!K14*'合同排期'!R14,0)+IF(22='合同排期'!J14,'合同排期'!L14,0)</x:f>
        <x:v>0</x:v>
      </x:c>
      <x:c r="AA80" s="8" t="n">
        <x:f>IF(23='合同排期'!H14,'合同排期'!K14*'合同排期'!P14,0)+IF(23='合同排期'!S14,'合同排期'!K14*'合同排期'!Q14,0)+IF(23='合同排期'!I14,'合同排期'!K14*'合同排期'!R14,0)+IF(23='合同排期'!J14,'合同排期'!L14,0)</x:f>
        <x:v>0</x:v>
      </x:c>
      <x:c r="AB80" s="8" t="n">
        <x:f>IF(24='合同排期'!H14,'合同排期'!K14*'合同排期'!P14,0)+IF(24='合同排期'!S14,'合同排期'!K14*'合同排期'!Q14,0)+IF(24='合同排期'!I14,'合同排期'!K14*'合同排期'!R14,0)+IF(24='合同排期'!J14,'合同排期'!L14,0)</x:f>
        <x:v>0</x:v>
      </x:c>
    </x:row>
    <x:row r="81" ht="23" customHeight="1">
      <x:c r="A81" s="1"/>
      <x:c r="B81" s="1"/>
      <x:c r="C81" s="1" t="str">
        <x:v>P09</x:v>
      </x:c>
      <x:c r="D81" s="1" t="str">
        <x:v>回款</x:v>
      </x:c>
      <x:c r="E81" s="8" t="n">
        <x:f>IF(1&gt;'假设'!D27,INDEX($E80:$AB80,1,1-'假设'!D27),0)</x:f>
        <x:v>0</x:v>
      </x:c>
      <x:c r="F81" s="8" t="n">
        <x:f>IF(2&gt;'假设'!D27,INDEX($E80:$AB80,1,2-'假设'!D27),0)</x:f>
        <x:v>0</x:v>
      </x:c>
      <x:c r="G81" s="8" t="n">
        <x:f>IF(3&gt;'假设'!D27,INDEX($E80:$AB80,1,3-'假设'!D27),0)</x:f>
        <x:v>0</x:v>
      </x:c>
      <x:c r="H81" s="8" t="n">
        <x:f>IF(4&gt;'假设'!D27,INDEX($E80:$AB80,1,4-'假设'!D27),0)</x:f>
        <x:v>0</x:v>
      </x:c>
      <x:c r="I81" s="8" t="n">
        <x:f>IF(5&gt;'假设'!D27,INDEX($E80:$AB80,1,5-'假设'!D27),0)</x:f>
        <x:v>0</x:v>
      </x:c>
      <x:c r="J81" s="8" t="n">
        <x:f>IF(6&gt;'假设'!D27,INDEX($E80:$AB80,1,6-'假设'!D27),0)</x:f>
        <x:v>0</x:v>
      </x:c>
      <x:c r="K81" s="8" t="n">
        <x:f>IF(7&gt;'假设'!D27,INDEX($E80:$AB80,1,7-'假设'!D27),0)</x:f>
        <x:v>0</x:v>
      </x:c>
      <x:c r="L81" s="8" t="n">
        <x:f>IF(8&gt;'假设'!D27,INDEX($E80:$AB80,1,8-'假设'!D27),0)</x:f>
        <x:v>0</x:v>
      </x:c>
      <x:c r="M81" s="8" t="n">
        <x:f>IF(9&gt;'假设'!D27,INDEX($E80:$AB80,1,9-'假设'!D27),0)</x:f>
        <x:v>0</x:v>
      </x:c>
      <x:c r="N81" s="8" t="n">
        <x:f>IF(10&gt;'假设'!D27,INDEX($E80:$AB80,1,10-'假设'!D27),0)</x:f>
        <x:v>0</x:v>
      </x:c>
      <x:c r="O81" s="8" t="n">
        <x:f>IF(11&gt;'假设'!D27,INDEX($E80:$AB80,1,11-'假设'!D27),0)</x:f>
        <x:v>0</x:v>
      </x:c>
      <x:c r="P81" s="8" t="n">
        <x:f>IF(12&gt;'假设'!D27,INDEX($E80:$AB80,1,12-'假设'!D27),0)</x:f>
        <x:v>0</x:v>
      </x:c>
      <x:c r="Q81" s="8" t="n">
        <x:f>IF(13&gt;'假设'!D27,INDEX($E80:$AB80,1,13-'假设'!D27),0)</x:f>
        <x:v>0</x:v>
      </x:c>
      <x:c r="R81" s="8" t="n">
        <x:f>IF(14&gt;'假设'!D27,INDEX($E80:$AB80,1,14-'假设'!D27),0)</x:f>
        <x:v>0</x:v>
      </x:c>
      <x:c r="S81" s="8" t="n">
        <x:f>IF(15&gt;'假设'!D27,INDEX($E80:$AB80,1,15-'假设'!D27),0)</x:f>
        <x:v>0</x:v>
      </x:c>
      <x:c r="T81" s="8" t="n">
        <x:f>IF(16&gt;'假设'!D27,INDEX($E80:$AB80,1,16-'假设'!D27),0)</x:f>
        <x:v>0</x:v>
      </x:c>
      <x:c r="U81" s="8" t="n">
        <x:f>IF(17&gt;'假设'!D27,INDEX($E80:$AB80,1,17-'假设'!D27),0)</x:f>
        <x:v>0</x:v>
      </x:c>
      <x:c r="V81" s="8" t="n">
        <x:f>IF(18&gt;'假设'!D27,INDEX($E80:$AB80,1,18-'假设'!D27),0)</x:f>
        <x:v>0</x:v>
      </x:c>
      <x:c r="W81" s="8" t="n">
        <x:f>IF(19&gt;'假设'!D27,INDEX($E80:$AB80,1,19-'假设'!D27),0)</x:f>
        <x:v>0</x:v>
      </x:c>
      <x:c r="X81" s="8" t="n">
        <x:f>IF(20&gt;'假设'!D27,INDEX($E80:$AB80,1,20-'假设'!D27),0)</x:f>
        <x:v>0</x:v>
      </x:c>
      <x:c r="Y81" s="8" t="n">
        <x:f>IF(21&gt;'假设'!D27,INDEX($E80:$AB80,1,21-'假设'!D27),0)</x:f>
        <x:v>0</x:v>
      </x:c>
      <x:c r="Z81" s="8" t="n">
        <x:f>IF(22&gt;'假设'!D27,INDEX($E80:$AB80,1,22-'假设'!D27),0)</x:f>
        <x:v>0</x:v>
      </x:c>
      <x:c r="AA81" s="8" t="n">
        <x:f>IF(23&gt;'假设'!D27,INDEX($E80:$AB80,1,23-'假设'!D27),0)</x:f>
        <x:v>0</x:v>
      </x:c>
      <x:c r="AB81" s="8" t="n">
        <x:f>IF(24&gt;'假设'!D27,INDEX($E80:$AB80,1,24-'假设'!D27),0)</x:f>
        <x:v>0</x:v>
      </x:c>
    </x:row>
    <x:row r="82" ht="23" customHeight="1">
      <x:c r="A82" s="1"/>
      <x:c r="B82" s="1"/>
      <x:c r="C82" s="1" t="str">
        <x:v>P09</x:v>
      </x:c>
      <x:c r="D82" s="1" t="str">
        <x:v>直接损益成本</x:v>
      </x:c>
      <x:c r="E82" s="8" t="n">
        <x:f>IF(1='合同排期'!I14,'合同排期'!N14,0)+IF(AND(1&gt;='合同排期'!J14,1&lt;'合同排期'!J14+12),'合同排期'!O14,0)+E78*'假设'!D47</x:f>
        <x:v>0</x:v>
      </x:c>
      <x:c r="F82" s="8" t="n">
        <x:f>IF(2='合同排期'!I14,'合同排期'!N14,0)+IF(AND(2&gt;='合同排期'!J14,2&lt;'合同排期'!J14+12),'合同排期'!O14,0)+F78*'假设'!D47</x:f>
        <x:v>0</x:v>
      </x:c>
      <x:c r="G82" s="8" t="n">
        <x:f>IF(3='合同排期'!I14,'合同排期'!N14,0)+IF(AND(3&gt;='合同排期'!J14,3&lt;'合同排期'!J14+12),'合同排期'!O14,0)+G78*'假设'!D47</x:f>
        <x:v>0</x:v>
      </x:c>
      <x:c r="H82" s="8" t="n">
        <x:f>IF(4='合同排期'!I14,'合同排期'!N14,0)+IF(AND(4&gt;='合同排期'!J14,4&lt;'合同排期'!J14+12),'合同排期'!O14,0)+H78*'假设'!D47</x:f>
        <x:v>0</x:v>
      </x:c>
      <x:c r="I82" s="8" t="n">
        <x:f>IF(5='合同排期'!I14,'合同排期'!N14,0)+IF(AND(5&gt;='合同排期'!J14,5&lt;'合同排期'!J14+12),'合同排期'!O14,0)+I78*'假设'!D47</x:f>
        <x:v>0</x:v>
      </x:c>
      <x:c r="J82" s="8" t="n">
        <x:f>IF(6='合同排期'!I14,'合同排期'!N14,0)+IF(AND(6&gt;='合同排期'!J14,6&lt;'合同排期'!J14+12),'合同排期'!O14,0)+J78*'假设'!D47</x:f>
        <x:v>0</x:v>
      </x:c>
      <x:c r="K82" s="8" t="n">
        <x:f>IF(7='合同排期'!I14,'合同排期'!N14,0)+IF(AND(7&gt;='合同排期'!J14,7&lt;'合同排期'!J14+12),'合同排期'!O14,0)+K78*'假设'!D47</x:f>
        <x:v>0</x:v>
      </x:c>
      <x:c r="L82" s="8" t="n">
        <x:f>IF(8='合同排期'!I14,'合同排期'!N14,0)+IF(AND(8&gt;='合同排期'!J14,8&lt;'合同排期'!J14+12),'合同排期'!O14,0)+L78*'假设'!D47</x:f>
        <x:v>0</x:v>
      </x:c>
      <x:c r="M82" s="8" t="n">
        <x:f>IF(9='合同排期'!I14,'合同排期'!N14,0)+IF(AND(9&gt;='合同排期'!J14,9&lt;'合同排期'!J14+12),'合同排期'!O14,0)+M78*'假设'!D47</x:f>
        <x:v>0</x:v>
      </x:c>
      <x:c r="N82" s="8" t="n">
        <x:f>IF(10='合同排期'!I14,'合同排期'!N14,0)+IF(AND(10&gt;='合同排期'!J14,10&lt;'合同排期'!J14+12),'合同排期'!O14,0)+N78*'假设'!D47</x:f>
        <x:v>0</x:v>
      </x:c>
      <x:c r="O82" s="8" t="n">
        <x:f>IF(11='合同排期'!I14,'合同排期'!N14,0)+IF(AND(11&gt;='合同排期'!J14,11&lt;'合同排期'!J14+12),'合同排期'!O14,0)+O78*'假设'!D47</x:f>
        <x:v>0</x:v>
      </x:c>
      <x:c r="P82" s="8" t="n">
        <x:f>IF(12='合同排期'!I14,'合同排期'!N14,0)+IF(AND(12&gt;='合同排期'!J14,12&lt;'合同排期'!J14+12),'合同排期'!O14,0)+P78*'假设'!D47</x:f>
        <x:v>0</x:v>
      </x:c>
      <x:c r="Q82" s="8" t="n">
        <x:f>IF(13='合同排期'!I14,'合同排期'!N14,0)+IF(AND(13&gt;='合同排期'!J14,13&lt;'合同排期'!J14+12),'合同排期'!O14,0)+Q78*'假设'!D47</x:f>
        <x:v>0</x:v>
      </x:c>
      <x:c r="R82" s="8" t="n">
        <x:f>IF(14='合同排期'!I14,'合同排期'!N14,0)+IF(AND(14&gt;='合同排期'!J14,14&lt;'合同排期'!J14+12),'合同排期'!O14,0)+R78*'假设'!D47</x:f>
        <x:v>0</x:v>
      </x:c>
      <x:c r="S82" s="8" t="n">
        <x:f>IF(15='合同排期'!I14,'合同排期'!N14,0)+IF(AND(15&gt;='合同排期'!J14,15&lt;'合同排期'!J14+12),'合同排期'!O14,0)+S78*'假设'!D47</x:f>
        <x:v>0</x:v>
      </x:c>
      <x:c r="T82" s="8" t="n">
        <x:f>IF(16='合同排期'!I14,'合同排期'!N14,0)+IF(AND(16&gt;='合同排期'!J14,16&lt;'合同排期'!J14+12),'合同排期'!O14,0)+T78*'假设'!D47</x:f>
        <x:v>0</x:v>
      </x:c>
      <x:c r="U82" s="8" t="n">
        <x:f>IF(17='合同排期'!I14,'合同排期'!N14,0)+IF(AND(17&gt;='合同排期'!J14,17&lt;'合同排期'!J14+12),'合同排期'!O14,0)+U78*'假设'!D47</x:f>
        <x:v>0</x:v>
      </x:c>
      <x:c r="V82" s="8" t="n">
        <x:f>IF(18='合同排期'!I14,'合同排期'!N14,0)+IF(AND(18&gt;='合同排期'!J14,18&lt;'合同排期'!J14+12),'合同排期'!O14,0)+V78*'假设'!D47</x:f>
        <x:v>0</x:v>
      </x:c>
      <x:c r="W82" s="8" t="n">
        <x:f>IF(19='合同排期'!I14,'合同排期'!N14,0)+IF(AND(19&gt;='合同排期'!J14,19&lt;'合同排期'!J14+12),'合同排期'!O14,0)+W78*'假设'!D47</x:f>
        <x:v>0</x:v>
      </x:c>
      <x:c r="X82" s="8" t="n">
        <x:f>IF(20='合同排期'!I14,'合同排期'!N14,0)+IF(AND(20&gt;='合同排期'!J14,20&lt;'合同排期'!J14+12),'合同排期'!O14,0)+X78*'假设'!D47</x:f>
        <x:v>0</x:v>
      </x:c>
      <x:c r="Y82" s="8" t="n">
        <x:f>IF(21='合同排期'!I14,'合同排期'!N14,0)+IF(AND(21&gt;='合同排期'!J14,21&lt;'合同排期'!J14+12),'合同排期'!O14,0)+Y78*'假设'!D47</x:f>
        <x:v>0</x:v>
      </x:c>
      <x:c r="Z82" s="8" t="n">
        <x:f>IF(22='合同排期'!I14,'合同排期'!N14,0)+IF(AND(22&gt;='合同排期'!J14,22&lt;'合同排期'!J14+12),'合同排期'!O14,0)+Z78*'假设'!D47</x:f>
        <x:v>0</x:v>
      </x:c>
      <x:c r="AA82" s="8" t="n">
        <x:f>IF(23='合同排期'!I14,'合同排期'!N14,0)+IF(AND(23&gt;='合同排期'!J14,23&lt;'合同排期'!J14+12),'合同排期'!O14,0)+AA78*'假设'!D47</x:f>
        <x:v>0</x:v>
      </x:c>
      <x:c r="AB82" s="8" t="n">
        <x:f>IF(24='合同排期'!I14,'合同排期'!N14,0)+IF(AND(24&gt;='合同排期'!J14,24&lt;'合同排期'!J14+12),'合同排期'!O14,0)+AB78*'假设'!D47</x:f>
        <x:v>0</x:v>
      </x:c>
    </x:row>
    <x:row r="83" ht="23" customHeight="1">
      <x:c r="A83" s="1"/>
      <x:c r="B83" s="1"/>
      <x:c r="C83" s="1" t="str">
        <x:v>P09</x:v>
      </x:c>
      <x:c r="D83" s="1" t="str">
        <x:v>直接现金成本</x:v>
      </x:c>
      <x:c r="E83" s="8" t="n">
        <x:f>IF(AND(1&gt;='合同排期'!H14,1&lt;='合同排期'!I14),'合同排期'!N14/('合同排期'!I14-'合同排期'!H14+1),0)+IF(AND(1&gt;='合同排期'!J14,1&lt;'合同排期'!J14+12),'合同排期'!O14,0)+E81*'假设'!D47</x:f>
        <x:v>0</x:v>
      </x:c>
      <x:c r="F83" s="8" t="n">
        <x:f>IF(AND(2&gt;='合同排期'!H14,2&lt;='合同排期'!I14),'合同排期'!N14/('合同排期'!I14-'合同排期'!H14+1),0)+IF(AND(2&gt;='合同排期'!J14,2&lt;'合同排期'!J14+12),'合同排期'!O14,0)+F81*'假设'!D47</x:f>
        <x:v>0</x:v>
      </x:c>
      <x:c r="G83" s="8" t="n">
        <x:f>IF(AND(3&gt;='合同排期'!H14,3&lt;='合同排期'!I14),'合同排期'!N14/('合同排期'!I14-'合同排期'!H14+1),0)+IF(AND(3&gt;='合同排期'!J14,3&lt;'合同排期'!J14+12),'合同排期'!O14,0)+G81*'假设'!D47</x:f>
        <x:v>0</x:v>
      </x:c>
      <x:c r="H83" s="8" t="n">
        <x:f>IF(AND(4&gt;='合同排期'!H14,4&lt;='合同排期'!I14),'合同排期'!N14/('合同排期'!I14-'合同排期'!H14+1),0)+IF(AND(4&gt;='合同排期'!J14,4&lt;'合同排期'!J14+12),'合同排期'!O14,0)+H81*'假设'!D47</x:f>
        <x:v>0</x:v>
      </x:c>
      <x:c r="I83" s="8" t="n">
        <x:f>IF(AND(5&gt;='合同排期'!H14,5&lt;='合同排期'!I14),'合同排期'!N14/('合同排期'!I14-'合同排期'!H14+1),0)+IF(AND(5&gt;='合同排期'!J14,5&lt;'合同排期'!J14+12),'合同排期'!O14,0)+I81*'假设'!D47</x:f>
        <x:v>0</x:v>
      </x:c>
      <x:c r="J83" s="8" t="n">
        <x:f>IF(AND(6&gt;='合同排期'!H14,6&lt;='合同排期'!I14),'合同排期'!N14/('合同排期'!I14-'合同排期'!H14+1),0)+IF(AND(6&gt;='合同排期'!J14,6&lt;'合同排期'!J14+12),'合同排期'!O14,0)+J81*'假设'!D47</x:f>
        <x:v>0</x:v>
      </x:c>
      <x:c r="K83" s="8" t="n">
        <x:f>IF(AND(7&gt;='合同排期'!H14,7&lt;='合同排期'!I14),'合同排期'!N14/('合同排期'!I14-'合同排期'!H14+1),0)+IF(AND(7&gt;='合同排期'!J14,7&lt;'合同排期'!J14+12),'合同排期'!O14,0)+K81*'假设'!D47</x:f>
        <x:v>0</x:v>
      </x:c>
      <x:c r="L83" s="8" t="n">
        <x:f>IF(AND(8&gt;='合同排期'!H14,8&lt;='合同排期'!I14),'合同排期'!N14/('合同排期'!I14-'合同排期'!H14+1),0)+IF(AND(8&gt;='合同排期'!J14,8&lt;'合同排期'!J14+12),'合同排期'!O14,0)+L81*'假设'!D47</x:f>
        <x:v>0</x:v>
      </x:c>
      <x:c r="M83" s="8" t="n">
        <x:f>IF(AND(9&gt;='合同排期'!H14,9&lt;='合同排期'!I14),'合同排期'!N14/('合同排期'!I14-'合同排期'!H14+1),0)+IF(AND(9&gt;='合同排期'!J14,9&lt;'合同排期'!J14+12),'合同排期'!O14,0)+M81*'假设'!D47</x:f>
        <x:v>0</x:v>
      </x:c>
      <x:c r="N83" s="8" t="n">
        <x:f>IF(AND(10&gt;='合同排期'!H14,10&lt;='合同排期'!I14),'合同排期'!N14/('合同排期'!I14-'合同排期'!H14+1),0)+IF(AND(10&gt;='合同排期'!J14,10&lt;'合同排期'!J14+12),'合同排期'!O14,0)+N81*'假设'!D47</x:f>
        <x:v>0</x:v>
      </x:c>
      <x:c r="O83" s="8" t="n">
        <x:f>IF(AND(11&gt;='合同排期'!H14,11&lt;='合同排期'!I14),'合同排期'!N14/('合同排期'!I14-'合同排期'!H14+1),0)+IF(AND(11&gt;='合同排期'!J14,11&lt;'合同排期'!J14+12),'合同排期'!O14,0)+O81*'假设'!D47</x:f>
        <x:v>0</x:v>
      </x:c>
      <x:c r="P83" s="8" t="n">
        <x:f>IF(AND(12&gt;='合同排期'!H14,12&lt;='合同排期'!I14),'合同排期'!N14/('合同排期'!I14-'合同排期'!H14+1),0)+IF(AND(12&gt;='合同排期'!J14,12&lt;'合同排期'!J14+12),'合同排期'!O14,0)+P81*'假设'!D47</x:f>
        <x:v>0</x:v>
      </x:c>
      <x:c r="Q83" s="8" t="n">
        <x:f>IF(AND(13&gt;='合同排期'!H14,13&lt;='合同排期'!I14),'合同排期'!N14/('合同排期'!I14-'合同排期'!H14+1),0)+IF(AND(13&gt;='合同排期'!J14,13&lt;'合同排期'!J14+12),'合同排期'!O14,0)+Q81*'假设'!D47</x:f>
        <x:v>0</x:v>
      </x:c>
      <x:c r="R83" s="8" t="n">
        <x:f>IF(AND(14&gt;='合同排期'!H14,14&lt;='合同排期'!I14),'合同排期'!N14/('合同排期'!I14-'合同排期'!H14+1),0)+IF(AND(14&gt;='合同排期'!J14,14&lt;'合同排期'!J14+12),'合同排期'!O14,0)+R81*'假设'!D47</x:f>
        <x:v>0</x:v>
      </x:c>
      <x:c r="S83" s="8" t="n">
        <x:f>IF(AND(15&gt;='合同排期'!H14,15&lt;='合同排期'!I14),'合同排期'!N14/('合同排期'!I14-'合同排期'!H14+1),0)+IF(AND(15&gt;='合同排期'!J14,15&lt;'合同排期'!J14+12),'合同排期'!O14,0)+S81*'假设'!D47</x:f>
        <x:v>0</x:v>
      </x:c>
      <x:c r="T83" s="8" t="n">
        <x:f>IF(AND(16&gt;='合同排期'!H14,16&lt;='合同排期'!I14),'合同排期'!N14/('合同排期'!I14-'合同排期'!H14+1),0)+IF(AND(16&gt;='合同排期'!J14,16&lt;'合同排期'!J14+12),'合同排期'!O14,0)+T81*'假设'!D47</x:f>
        <x:v>0</x:v>
      </x:c>
      <x:c r="U83" s="8" t="n">
        <x:f>IF(AND(17&gt;='合同排期'!H14,17&lt;='合同排期'!I14),'合同排期'!N14/('合同排期'!I14-'合同排期'!H14+1),0)+IF(AND(17&gt;='合同排期'!J14,17&lt;'合同排期'!J14+12),'合同排期'!O14,0)+U81*'假设'!D47</x:f>
        <x:v>0</x:v>
      </x:c>
      <x:c r="V83" s="8" t="n">
        <x:f>IF(AND(18&gt;='合同排期'!H14,18&lt;='合同排期'!I14),'合同排期'!N14/('合同排期'!I14-'合同排期'!H14+1),0)+IF(AND(18&gt;='合同排期'!J14,18&lt;'合同排期'!J14+12),'合同排期'!O14,0)+V81*'假设'!D47</x:f>
        <x:v>0</x:v>
      </x:c>
      <x:c r="W83" s="8" t="n">
        <x:f>IF(AND(19&gt;='合同排期'!H14,19&lt;='合同排期'!I14),'合同排期'!N14/('合同排期'!I14-'合同排期'!H14+1),0)+IF(AND(19&gt;='合同排期'!J14,19&lt;'合同排期'!J14+12),'合同排期'!O14,0)+W81*'假设'!D47</x:f>
        <x:v>0</x:v>
      </x:c>
      <x:c r="X83" s="8" t="n">
        <x:f>IF(AND(20&gt;='合同排期'!H14,20&lt;='合同排期'!I14),'合同排期'!N14/('合同排期'!I14-'合同排期'!H14+1),0)+IF(AND(20&gt;='合同排期'!J14,20&lt;'合同排期'!J14+12),'合同排期'!O14,0)+X81*'假设'!D47</x:f>
        <x:v>0</x:v>
      </x:c>
      <x:c r="Y83" s="8" t="n">
        <x:f>IF(AND(21&gt;='合同排期'!H14,21&lt;='合同排期'!I14),'合同排期'!N14/('合同排期'!I14-'合同排期'!H14+1),0)+IF(AND(21&gt;='合同排期'!J14,21&lt;'合同排期'!J14+12),'合同排期'!O14,0)+Y81*'假设'!D47</x:f>
        <x:v>0</x:v>
      </x:c>
      <x:c r="Z83" s="8" t="n">
        <x:f>IF(AND(22&gt;='合同排期'!H14,22&lt;='合同排期'!I14),'合同排期'!N14/('合同排期'!I14-'合同排期'!H14+1),0)+IF(AND(22&gt;='合同排期'!J14,22&lt;'合同排期'!J14+12),'合同排期'!O14,0)+Z81*'假设'!D47</x:f>
        <x:v>0</x:v>
      </x:c>
      <x:c r="AA83" s="8" t="n">
        <x:f>IF(AND(23&gt;='合同排期'!H14,23&lt;='合同排期'!I14),'合同排期'!N14/('合同排期'!I14-'合同排期'!H14+1),0)+IF(AND(23&gt;='合同排期'!J14,23&lt;'合同排期'!J14+12),'合同排期'!O14,0)+AA81*'假设'!D47</x:f>
        <x:v>0</x:v>
      </x:c>
      <x:c r="AB83" s="8" t="n">
        <x:f>IF(AND(24&gt;='合同排期'!H14,24&lt;='合同排期'!I14),'合同排期'!N14/('合同排期'!I14-'合同排期'!H14+1),0)+IF(AND(24&gt;='合同排期'!J14,24&lt;'合同排期'!J14+12),'合同排期'!O14,0)+AB81*'假设'!D47</x:f>
        <x:v>0</x:v>
      </x:c>
    </x:row>
    <x:row r="84" ht="23" customHeight="1">
      <x:c r="A84" s="1"/>
      <x:c r="B84" s="1"/>
      <x:c r="C84" s="1" t="str">
        <x:v>P09</x:v>
      </x:c>
      <x:c r="D84" s="1" t="str">
        <x:v>工程交付人月</x:v>
      </x:c>
      <x:c r="E84" s="8" t="n">
        <x:f>IF(AND(1&gt;='合同排期'!H14,1&lt;='合同排期'!I14),'合同排期'!M14/('合同排期'!I14-'合同排期'!H14+1),0)</x:f>
        <x:v>0</x:v>
      </x:c>
      <x:c r="F84" s="8" t="n">
        <x:f>IF(AND(2&gt;='合同排期'!H14,2&lt;='合同排期'!I14),'合同排期'!M14/('合同排期'!I14-'合同排期'!H14+1),0)</x:f>
        <x:v>0</x:v>
      </x:c>
      <x:c r="G84" s="8" t="n">
        <x:f>IF(AND(3&gt;='合同排期'!H14,3&lt;='合同排期'!I14),'合同排期'!M14/('合同排期'!I14-'合同排期'!H14+1),0)</x:f>
        <x:v>0</x:v>
      </x:c>
      <x:c r="H84" s="8" t="n">
        <x:f>IF(AND(4&gt;='合同排期'!H14,4&lt;='合同排期'!I14),'合同排期'!M14/('合同排期'!I14-'合同排期'!H14+1),0)</x:f>
        <x:v>0</x:v>
      </x:c>
      <x:c r="I84" s="8" t="n">
        <x:f>IF(AND(5&gt;='合同排期'!H14,5&lt;='合同排期'!I14),'合同排期'!M14/('合同排期'!I14-'合同排期'!H14+1),0)</x:f>
        <x:v>0</x:v>
      </x:c>
      <x:c r="J84" s="8" t="n">
        <x:f>IF(AND(6&gt;='合同排期'!H14,6&lt;='合同排期'!I14),'合同排期'!M14/('合同排期'!I14-'合同排期'!H14+1),0)</x:f>
        <x:v>0</x:v>
      </x:c>
      <x:c r="K84" s="8" t="n">
        <x:f>IF(AND(7&gt;='合同排期'!H14,7&lt;='合同排期'!I14),'合同排期'!M14/('合同排期'!I14-'合同排期'!H14+1),0)</x:f>
        <x:v>0</x:v>
      </x:c>
      <x:c r="L84" s="8" t="n">
        <x:f>IF(AND(8&gt;='合同排期'!H14,8&lt;='合同排期'!I14),'合同排期'!M14/('合同排期'!I14-'合同排期'!H14+1),0)</x:f>
        <x:v>0</x:v>
      </x:c>
      <x:c r="M84" s="8" t="n">
        <x:f>IF(AND(9&gt;='合同排期'!H14,9&lt;='合同排期'!I14),'合同排期'!M14/('合同排期'!I14-'合同排期'!H14+1),0)</x:f>
        <x:v>0</x:v>
      </x:c>
      <x:c r="N84" s="8" t="n">
        <x:f>IF(AND(10&gt;='合同排期'!H14,10&lt;='合同排期'!I14),'合同排期'!M14/('合同排期'!I14-'合同排期'!H14+1),0)</x:f>
        <x:v>0</x:v>
      </x:c>
      <x:c r="O84" s="8" t="n">
        <x:f>IF(AND(11&gt;='合同排期'!H14,11&lt;='合同排期'!I14),'合同排期'!M14/('合同排期'!I14-'合同排期'!H14+1),0)</x:f>
        <x:v>0</x:v>
      </x:c>
      <x:c r="P84" s="8" t="n">
        <x:f>IF(AND(12&gt;='合同排期'!H14,12&lt;='合同排期'!I14),'合同排期'!M14/('合同排期'!I14-'合同排期'!H14+1),0)</x:f>
        <x:v>0</x:v>
      </x:c>
      <x:c r="Q84" s="8" t="n">
        <x:f>IF(AND(13&gt;='合同排期'!H14,13&lt;='合同排期'!I14),'合同排期'!M14/('合同排期'!I14-'合同排期'!H14+1),0)</x:f>
        <x:v>0</x:v>
      </x:c>
      <x:c r="R84" s="8" t="n">
        <x:f>IF(AND(14&gt;='合同排期'!H14,14&lt;='合同排期'!I14),'合同排期'!M14/('合同排期'!I14-'合同排期'!H14+1),0)</x:f>
        <x:v>0</x:v>
      </x:c>
      <x:c r="S84" s="8" t="n">
        <x:f>IF(AND(15&gt;='合同排期'!H14,15&lt;='合同排期'!I14),'合同排期'!M14/('合同排期'!I14-'合同排期'!H14+1),0)</x:f>
        <x:v>0</x:v>
      </x:c>
      <x:c r="T84" s="8" t="n">
        <x:f>IF(AND(16&gt;='合同排期'!H14,16&lt;='合同排期'!I14),'合同排期'!M14/('合同排期'!I14-'合同排期'!H14+1),0)</x:f>
        <x:v>0</x:v>
      </x:c>
      <x:c r="U84" s="8" t="n">
        <x:f>IF(AND(17&gt;='合同排期'!H14,17&lt;='合同排期'!I14),'合同排期'!M14/('合同排期'!I14-'合同排期'!H14+1),0)</x:f>
        <x:v>0</x:v>
      </x:c>
      <x:c r="V84" s="8" t="n">
        <x:f>IF(AND(18&gt;='合同排期'!H14,18&lt;='合同排期'!I14),'合同排期'!M14/('合同排期'!I14-'合同排期'!H14+1),0)</x:f>
        <x:v>0</x:v>
      </x:c>
      <x:c r="W84" s="8" t="n">
        <x:f>IF(AND(19&gt;='合同排期'!H14,19&lt;='合同排期'!I14),'合同排期'!M14/('合同排期'!I14-'合同排期'!H14+1),0)</x:f>
        <x:v>0</x:v>
      </x:c>
      <x:c r="X84" s="8" t="n">
        <x:f>IF(AND(20&gt;='合同排期'!H14,20&lt;='合同排期'!I14),'合同排期'!M14/('合同排期'!I14-'合同排期'!H14+1),0)</x:f>
        <x:v>0</x:v>
      </x:c>
      <x:c r="Y84" s="8" t="n">
        <x:f>IF(AND(21&gt;='合同排期'!H14,21&lt;='合同排期'!I14),'合同排期'!M14/('合同排期'!I14-'合同排期'!H14+1),0)</x:f>
        <x:v>0</x:v>
      </x:c>
      <x:c r="Z84" s="8" t="n">
        <x:f>IF(AND(22&gt;='合同排期'!H14,22&lt;='合同排期'!I14),'合同排期'!M14/('合同排期'!I14-'合同排期'!H14+1),0)</x:f>
        <x:v>0</x:v>
      </x:c>
      <x:c r="AA84" s="8" t="n">
        <x:f>IF(AND(23&gt;='合同排期'!H14,23&lt;='合同排期'!I14),'合同排期'!M14/('合同排期'!I14-'合同排期'!H14+1),0)</x:f>
        <x:v>0</x:v>
      </x:c>
      <x:c r="AB84" s="8" t="n">
        <x:f>IF(AND(24&gt;='合同排期'!H14,24&lt;='合同排期'!I14),'合同排期'!M14/('合同排期'!I14-'合同排期'!H14+1),0)</x:f>
        <x:v>0</x:v>
      </x:c>
    </x:row>
    <x:row r="85" ht="23" customHeight="1">
      <x:c r="A85" s="1"/>
      <x:c r="B85" s="1"/>
      <x:c r="C85" s="1" t="str">
        <x:v>P09</x:v>
      </x:c>
      <x:c r="D85" s="1" t="str">
        <x:v>生效ARR</x:v>
      </x:c>
      <x:c r="E85" s="8" t="n">
        <x:f>IF(AND(1&gt;='合同排期'!J14,1&lt;'合同排期'!J14+12),'合同排期'!L14,0)</x:f>
        <x:v>0</x:v>
      </x:c>
      <x:c r="F85" s="8" t="n">
        <x:f>IF(AND(2&gt;='合同排期'!J14,2&lt;'合同排期'!J14+12),'合同排期'!L14,0)</x:f>
        <x:v>0</x:v>
      </x:c>
      <x:c r="G85" s="8" t="n">
        <x:f>IF(AND(3&gt;='合同排期'!J14,3&lt;'合同排期'!J14+12),'合同排期'!L14,0)</x:f>
        <x:v>0</x:v>
      </x:c>
      <x:c r="H85" s="8" t="n">
        <x:f>IF(AND(4&gt;='合同排期'!J14,4&lt;'合同排期'!J14+12),'合同排期'!L14,0)</x:f>
        <x:v>0</x:v>
      </x:c>
      <x:c r="I85" s="8" t="n">
        <x:f>IF(AND(5&gt;='合同排期'!J14,5&lt;'合同排期'!J14+12),'合同排期'!L14,0)</x:f>
        <x:v>0</x:v>
      </x:c>
      <x:c r="J85" s="8" t="n">
        <x:f>IF(AND(6&gt;='合同排期'!J14,6&lt;'合同排期'!J14+12),'合同排期'!L14,0)</x:f>
        <x:v>0</x:v>
      </x:c>
      <x:c r="K85" s="8" t="n">
        <x:f>IF(AND(7&gt;='合同排期'!J14,7&lt;'合同排期'!J14+12),'合同排期'!L14,0)</x:f>
        <x:v>0</x:v>
      </x:c>
      <x:c r="L85" s="8" t="n">
        <x:f>IF(AND(8&gt;='合同排期'!J14,8&lt;'合同排期'!J14+12),'合同排期'!L14,0)</x:f>
        <x:v>0</x:v>
      </x:c>
      <x:c r="M85" s="8" t="n">
        <x:f>IF(AND(9&gt;='合同排期'!J14,9&lt;'合同排期'!J14+12),'合同排期'!L14,0)</x:f>
        <x:v>0</x:v>
      </x:c>
      <x:c r="N85" s="8" t="n">
        <x:f>IF(AND(10&gt;='合同排期'!J14,10&lt;'合同排期'!J14+12),'合同排期'!L14,0)</x:f>
        <x:v>0</x:v>
      </x:c>
      <x:c r="O85" s="8" t="n">
        <x:f>IF(AND(11&gt;='合同排期'!J14,11&lt;'合同排期'!J14+12),'合同排期'!L14,0)</x:f>
        <x:v>0</x:v>
      </x:c>
      <x:c r="P85" s="8" t="n">
        <x:f>IF(AND(12&gt;='合同排期'!J14,12&lt;'合同排期'!J14+12),'合同排期'!L14,0)</x:f>
        <x:v>0</x:v>
      </x:c>
      <x:c r="Q85" s="8" t="n">
        <x:f>IF(AND(13&gt;='合同排期'!J14,13&lt;'合同排期'!J14+12),'合同排期'!L14,0)</x:f>
        <x:v>0</x:v>
      </x:c>
      <x:c r="R85" s="8" t="n">
        <x:f>IF(AND(14&gt;='合同排期'!J14,14&lt;'合同排期'!J14+12),'合同排期'!L14,0)</x:f>
        <x:v>0</x:v>
      </x:c>
      <x:c r="S85" s="8" t="n">
        <x:f>IF(AND(15&gt;='合同排期'!J14,15&lt;'合同排期'!J14+12),'合同排期'!L14,0)</x:f>
        <x:v>0</x:v>
      </x:c>
      <x:c r="T85" s="8" t="n">
        <x:f>IF(AND(16&gt;='合同排期'!J14,16&lt;'合同排期'!J14+12),'合同排期'!L14,0)</x:f>
        <x:v>0</x:v>
      </x:c>
      <x:c r="U85" s="8" t="n">
        <x:f>IF(AND(17&gt;='合同排期'!J14,17&lt;'合同排期'!J14+12),'合同排期'!L14,0)</x:f>
        <x:v>0</x:v>
      </x:c>
      <x:c r="V85" s="8" t="n">
        <x:f>IF(AND(18&gt;='合同排期'!J14,18&lt;'合同排期'!J14+12),'合同排期'!L14,0)</x:f>
        <x:v>0</x:v>
      </x:c>
      <x:c r="W85" s="8" t="n">
        <x:f>IF(AND(19&gt;='合同排期'!J14,19&lt;'合同排期'!J14+12),'合同排期'!L14,0)</x:f>
        <x:v>0</x:v>
      </x:c>
      <x:c r="X85" s="8" t="n">
        <x:f>IF(AND(20&gt;='合同排期'!J14,20&lt;'合同排期'!J14+12),'合同排期'!L14,0)</x:f>
        <x:v>0</x:v>
      </x:c>
      <x:c r="Y85" s="8" t="n">
        <x:f>IF(AND(21&gt;='合同排期'!J14,21&lt;'合同排期'!J14+12),'合同排期'!L14,0)</x:f>
        <x:v>0</x:v>
      </x:c>
      <x:c r="Z85" s="8" t="n">
        <x:f>IF(AND(22&gt;='合同排期'!J14,22&lt;'合同排期'!J14+12),'合同排期'!L14,0)</x:f>
        <x:v>0</x:v>
      </x:c>
      <x:c r="AA85" s="8" t="n">
        <x:f>IF(AND(23&gt;='合同排期'!J14,23&lt;'合同排期'!J14+12),'合同排期'!L14,0)</x:f>
        <x:v>0</x:v>
      </x:c>
      <x:c r="AB85" s="8" t="n">
        <x:f>IF(AND(24&gt;='合同排期'!J14,24&lt;'合同排期'!J14+12),'合同排期'!L14,0)</x:f>
        <x:v>0</x:v>
      </x:c>
    </x:row>
    <x:row r="86" ht="23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  <x:c r="AA86" s="1"/>
      <x:c r="AB86" s="1"/>
    </x:row>
    <x:row r="87" ht="23" customHeight="1">
      <x:c r="A87" s="1"/>
      <x:c r="B87" s="1"/>
      <x:c r="C87" s="1" t="str">
        <x:v>P10</x:v>
      </x:c>
      <x:c r="D87" s="1" t="str">
        <x:v>净签约</x:v>
      </x:c>
      <x:c r="E87" s="8" t="n">
        <x:f>IF(1='合同排期'!H15,'合同排期'!K15+'合同排期'!L15,0)</x:f>
        <x:v>0</x:v>
      </x:c>
      <x:c r="F87" s="8" t="n">
        <x:f>IF(2='合同排期'!H15,'合同排期'!K15+'合同排期'!L15,0)</x:f>
        <x:v>0</x:v>
      </x:c>
      <x:c r="G87" s="8" t="n">
        <x:f>IF(3='合同排期'!H15,'合同排期'!K15+'合同排期'!L15,0)</x:f>
        <x:v>0</x:v>
      </x:c>
      <x:c r="H87" s="8" t="n">
        <x:f>IF(4='合同排期'!H15,'合同排期'!K15+'合同排期'!L15,0)</x:f>
        <x:v>0</x:v>
      </x:c>
      <x:c r="I87" s="8" t="n">
        <x:f>IF(5='合同排期'!H15,'合同排期'!K15+'合同排期'!L15,0)</x:f>
        <x:v>0</x:v>
      </x:c>
      <x:c r="J87" s="8" t="n">
        <x:f>IF(6='合同排期'!H15,'合同排期'!K15+'合同排期'!L15,0)</x:f>
        <x:v>0</x:v>
      </x:c>
      <x:c r="K87" s="8" t="n">
        <x:f>IF(7='合同排期'!H15,'合同排期'!K15+'合同排期'!L15,0)</x:f>
        <x:v>0</x:v>
      </x:c>
      <x:c r="L87" s="8" t="n">
        <x:f>IF(8='合同排期'!H15,'合同排期'!K15+'合同排期'!L15,0)</x:f>
        <x:v>0</x:v>
      </x:c>
      <x:c r="M87" s="8" t="n">
        <x:f>IF(9='合同排期'!H15,'合同排期'!K15+'合同排期'!L15,0)</x:f>
        <x:v>0</x:v>
      </x:c>
      <x:c r="N87" s="8" t="n">
        <x:f>IF(10='合同排期'!H15,'合同排期'!K15+'合同排期'!L15,0)</x:f>
        <x:v>0</x:v>
      </x:c>
      <x:c r="O87" s="8" t="n">
        <x:f>IF(11='合同排期'!H15,'合同排期'!K15+'合同排期'!L15,0)</x:f>
        <x:v>0</x:v>
      </x:c>
      <x:c r="P87" s="8" t="n">
        <x:f>IF(12='合同排期'!H15,'合同排期'!K15+'合同排期'!L15,0)</x:f>
        <x:v>0</x:v>
      </x:c>
      <x:c r="Q87" s="8" t="n">
        <x:f>IF(13='合同排期'!H15,'合同排期'!K15+'合同排期'!L15,0)</x:f>
        <x:v>0</x:v>
      </x:c>
      <x:c r="R87" s="8" t="n">
        <x:f>IF(14='合同排期'!H15,'合同排期'!K15+'合同排期'!L15,0)</x:f>
        <x:v>0</x:v>
      </x:c>
      <x:c r="S87" s="8" t="n">
        <x:f>IF(15='合同排期'!H15,'合同排期'!K15+'合同排期'!L15,0)</x:f>
        <x:v>0</x:v>
      </x:c>
      <x:c r="T87" s="8" t="n">
        <x:f>IF(16='合同排期'!H15,'合同排期'!K15+'合同排期'!L15,0)</x:f>
        <x:v>0</x:v>
      </x:c>
      <x:c r="U87" s="8" t="n">
        <x:f>IF(17='合同排期'!H15,'合同排期'!K15+'合同排期'!L15,0)</x:f>
        <x:v>0</x:v>
      </x:c>
      <x:c r="V87" s="8" t="n">
        <x:f>IF(18='合同排期'!H15,'合同排期'!K15+'合同排期'!L15,0)</x:f>
        <x:v>0</x:v>
      </x:c>
      <x:c r="W87" s="8" t="n">
        <x:f>IF(19='合同排期'!H15,'合同排期'!K15+'合同排期'!L15,0)</x:f>
        <x:v>0</x:v>
      </x:c>
      <x:c r="X87" s="8" t="n">
        <x:f>IF(20='合同排期'!H15,'合同排期'!K15+'合同排期'!L15,0)</x:f>
        <x:v>0</x:v>
      </x:c>
      <x:c r="Y87" s="8" t="n">
        <x:f>IF(21='合同排期'!H15,'合同排期'!K15+'合同排期'!L15,0)</x:f>
        <x:v>0</x:v>
      </x:c>
      <x:c r="Z87" s="8" t="n">
        <x:f>IF(22='合同排期'!H15,'合同排期'!K15+'合同排期'!L15,0)</x:f>
        <x:v>0</x:v>
      </x:c>
      <x:c r="AA87" s="8" t="n">
        <x:f>IF(23='合同排期'!H15,'合同排期'!K15+'合同排期'!L15,0)</x:f>
        <x:v>0</x:v>
      </x:c>
      <x:c r="AB87" s="8" t="n">
        <x:f>IF(24='合同排期'!H15,'合同排期'!K15+'合同排期'!L15,0)</x:f>
        <x:v>0</x:v>
      </x:c>
    </x:row>
    <x:row r="88" ht="23" customHeight="1">
      <x:c r="A88" s="1"/>
      <x:c r="B88" s="1"/>
      <x:c r="C88" s="1" t="str">
        <x:v>P10</x:v>
      </x:c>
      <x:c r="D88" s="1" t="str">
        <x:v>确认收入</x:v>
      </x:c>
      <x:c r="E88" s="8" t="n">
        <x:f>IF(1='合同排期'!I15,'合同排期'!K15,0)+IF(AND(1&gt;='合同排期'!J15,1&lt;'合同排期'!J15+12),'合同排期'!L15/12,0)</x:f>
        <x:v>0</x:v>
      </x:c>
      <x:c r="F88" s="8" t="n">
        <x:f>IF(2='合同排期'!I15,'合同排期'!K15,0)+IF(AND(2&gt;='合同排期'!J15,2&lt;'合同排期'!J15+12),'合同排期'!L15/12,0)</x:f>
        <x:v>0</x:v>
      </x:c>
      <x:c r="G88" s="8" t="n">
        <x:f>IF(3='合同排期'!I15,'合同排期'!K15,0)+IF(AND(3&gt;='合同排期'!J15,3&lt;'合同排期'!J15+12),'合同排期'!L15/12,0)</x:f>
        <x:v>0</x:v>
      </x:c>
      <x:c r="H88" s="8" t="n">
        <x:f>IF(4='合同排期'!I15,'合同排期'!K15,0)+IF(AND(4&gt;='合同排期'!J15,4&lt;'合同排期'!J15+12),'合同排期'!L15/12,0)</x:f>
        <x:v>0</x:v>
      </x:c>
      <x:c r="I88" s="8" t="n">
        <x:f>IF(5='合同排期'!I15,'合同排期'!K15,0)+IF(AND(5&gt;='合同排期'!J15,5&lt;'合同排期'!J15+12),'合同排期'!L15/12,0)</x:f>
        <x:v>0</x:v>
      </x:c>
      <x:c r="J88" s="8" t="n">
        <x:f>IF(6='合同排期'!I15,'合同排期'!K15,0)+IF(AND(6&gt;='合同排期'!J15,6&lt;'合同排期'!J15+12),'合同排期'!L15/12,0)</x:f>
        <x:v>0</x:v>
      </x:c>
      <x:c r="K88" s="8" t="n">
        <x:f>IF(7='合同排期'!I15,'合同排期'!K15,0)+IF(AND(7&gt;='合同排期'!J15,7&lt;'合同排期'!J15+12),'合同排期'!L15/12,0)</x:f>
        <x:v>0</x:v>
      </x:c>
      <x:c r="L88" s="8" t="n">
        <x:f>IF(8='合同排期'!I15,'合同排期'!K15,0)+IF(AND(8&gt;='合同排期'!J15,8&lt;'合同排期'!J15+12),'合同排期'!L15/12,0)</x:f>
        <x:v>0</x:v>
      </x:c>
      <x:c r="M88" s="8" t="n">
        <x:f>IF(9='合同排期'!I15,'合同排期'!K15,0)+IF(AND(9&gt;='合同排期'!J15,9&lt;'合同排期'!J15+12),'合同排期'!L15/12,0)</x:f>
        <x:v>0</x:v>
      </x:c>
      <x:c r="N88" s="8" t="n">
        <x:f>IF(10='合同排期'!I15,'合同排期'!K15,0)+IF(AND(10&gt;='合同排期'!J15,10&lt;'合同排期'!J15+12),'合同排期'!L15/12,0)</x:f>
        <x:v>0</x:v>
      </x:c>
      <x:c r="O88" s="8" t="n">
        <x:f>IF(11='合同排期'!I15,'合同排期'!K15,0)+IF(AND(11&gt;='合同排期'!J15,11&lt;'合同排期'!J15+12),'合同排期'!L15/12,0)</x:f>
        <x:v>0</x:v>
      </x:c>
      <x:c r="P88" s="8" t="n">
        <x:f>IF(12='合同排期'!I15,'合同排期'!K15,0)+IF(AND(12&gt;='合同排期'!J15,12&lt;'合同排期'!J15+12),'合同排期'!L15/12,0)</x:f>
        <x:v>0</x:v>
      </x:c>
      <x:c r="Q88" s="8" t="n">
        <x:f>IF(13='合同排期'!I15,'合同排期'!K15,0)+IF(AND(13&gt;='合同排期'!J15,13&lt;'合同排期'!J15+12),'合同排期'!L15/12,0)</x:f>
        <x:v>0</x:v>
      </x:c>
      <x:c r="R88" s="8" t="n">
        <x:f>IF(14='合同排期'!I15,'合同排期'!K15,0)+IF(AND(14&gt;='合同排期'!J15,14&lt;'合同排期'!J15+12),'合同排期'!L15/12,0)</x:f>
        <x:v>0</x:v>
      </x:c>
      <x:c r="S88" s="8" t="n">
        <x:f>IF(15='合同排期'!I15,'合同排期'!K15,0)+IF(AND(15&gt;='合同排期'!J15,15&lt;'合同排期'!J15+12),'合同排期'!L15/12,0)</x:f>
        <x:v>0</x:v>
      </x:c>
      <x:c r="T88" s="8" t="n">
        <x:f>IF(16='合同排期'!I15,'合同排期'!K15,0)+IF(AND(16&gt;='合同排期'!J15,16&lt;'合同排期'!J15+12),'合同排期'!L15/12,0)</x:f>
        <x:v>0</x:v>
      </x:c>
      <x:c r="U88" s="8" t="n">
        <x:f>IF(17='合同排期'!I15,'合同排期'!K15,0)+IF(AND(17&gt;='合同排期'!J15,17&lt;'合同排期'!J15+12),'合同排期'!L15/12,0)</x:f>
        <x:v>0</x:v>
      </x:c>
      <x:c r="V88" s="8" t="n">
        <x:f>IF(18='合同排期'!I15,'合同排期'!K15,0)+IF(AND(18&gt;='合同排期'!J15,18&lt;'合同排期'!J15+12),'合同排期'!L15/12,0)</x:f>
        <x:v>0</x:v>
      </x:c>
      <x:c r="W88" s="8" t="n">
        <x:f>IF(19='合同排期'!I15,'合同排期'!K15,0)+IF(AND(19&gt;='合同排期'!J15,19&lt;'合同排期'!J15+12),'合同排期'!L15/12,0)</x:f>
        <x:v>0</x:v>
      </x:c>
      <x:c r="X88" s="8" t="n">
        <x:f>IF(20='合同排期'!I15,'合同排期'!K15,0)+IF(AND(20&gt;='合同排期'!J15,20&lt;'合同排期'!J15+12),'合同排期'!L15/12,0)</x:f>
        <x:v>0</x:v>
      </x:c>
      <x:c r="Y88" s="8" t="n">
        <x:f>IF(21='合同排期'!I15,'合同排期'!K15,0)+IF(AND(21&gt;='合同排期'!J15,21&lt;'合同排期'!J15+12),'合同排期'!L15/12,0)</x:f>
        <x:v>0</x:v>
      </x:c>
      <x:c r="Z88" s="8" t="n">
        <x:f>IF(22='合同排期'!I15,'合同排期'!K15,0)+IF(AND(22&gt;='合同排期'!J15,22&lt;'合同排期'!J15+12),'合同排期'!L15/12,0)</x:f>
        <x:v>0</x:v>
      </x:c>
      <x:c r="AA88" s="8" t="n">
        <x:f>IF(23='合同排期'!I15,'合同排期'!K15,0)+IF(AND(23&gt;='合同排期'!J15,23&lt;'合同排期'!J15+12),'合同排期'!L15/12,0)</x:f>
        <x:v>0</x:v>
      </x:c>
      <x:c r="AB88" s="8" t="n">
        <x:f>IF(24='合同排期'!I15,'合同排期'!K15,0)+IF(AND(24&gt;='合同排期'!J15,24&lt;'合同排期'!J15+12),'合同排期'!L15/12,0)</x:f>
        <x:v>0</x:v>
      </x:c>
    </x:row>
    <x:row r="89" ht="23" customHeight="1">
      <x:c r="A89" s="1"/>
      <x:c r="B89" s="1"/>
      <x:c r="C89" s="1" t="str">
        <x:v>P10</x:v>
      </x:c>
      <x:c r="D89" s="1" t="str">
        <x:v>开票</x:v>
      </x:c>
      <x:c r="E89" s="8" t="n">
        <x:f>IF(1='合同排期'!H15,'合同排期'!K15*'合同排期'!P15,0)+IF(1='合同排期'!S15,'合同排期'!K15*'合同排期'!Q15,0)+IF(1='合同排期'!I15,'合同排期'!K15*'合同排期'!R15,0)+IF(1='合同排期'!J15,'合同排期'!L15,0)</x:f>
        <x:v>0</x:v>
      </x:c>
      <x:c r="F89" s="8" t="n">
        <x:f>IF(2='合同排期'!H15,'合同排期'!K15*'合同排期'!P15,0)+IF(2='合同排期'!S15,'合同排期'!K15*'合同排期'!Q15,0)+IF(2='合同排期'!I15,'合同排期'!K15*'合同排期'!R15,0)+IF(2='合同排期'!J15,'合同排期'!L15,0)</x:f>
        <x:v>0</x:v>
      </x:c>
      <x:c r="G89" s="8" t="n">
        <x:f>IF(3='合同排期'!H15,'合同排期'!K15*'合同排期'!P15,0)+IF(3='合同排期'!S15,'合同排期'!K15*'合同排期'!Q15,0)+IF(3='合同排期'!I15,'合同排期'!K15*'合同排期'!R15,0)+IF(3='合同排期'!J15,'合同排期'!L15,0)</x:f>
        <x:v>0</x:v>
      </x:c>
      <x:c r="H89" s="8" t="n">
        <x:f>IF(4='合同排期'!H15,'合同排期'!K15*'合同排期'!P15,0)+IF(4='合同排期'!S15,'合同排期'!K15*'合同排期'!Q15,0)+IF(4='合同排期'!I15,'合同排期'!K15*'合同排期'!R15,0)+IF(4='合同排期'!J15,'合同排期'!L15,0)</x:f>
        <x:v>0</x:v>
      </x:c>
      <x:c r="I89" s="8" t="n">
        <x:f>IF(5='合同排期'!H15,'合同排期'!K15*'合同排期'!P15,0)+IF(5='合同排期'!S15,'合同排期'!K15*'合同排期'!Q15,0)+IF(5='合同排期'!I15,'合同排期'!K15*'合同排期'!R15,0)+IF(5='合同排期'!J15,'合同排期'!L15,0)</x:f>
        <x:v>0</x:v>
      </x:c>
      <x:c r="J89" s="8" t="n">
        <x:f>IF(6='合同排期'!H15,'合同排期'!K15*'合同排期'!P15,0)+IF(6='合同排期'!S15,'合同排期'!K15*'合同排期'!Q15,0)+IF(6='合同排期'!I15,'合同排期'!K15*'合同排期'!R15,0)+IF(6='合同排期'!J15,'合同排期'!L15,0)</x:f>
        <x:v>0</x:v>
      </x:c>
      <x:c r="K89" s="8" t="n">
        <x:f>IF(7='合同排期'!H15,'合同排期'!K15*'合同排期'!P15,0)+IF(7='合同排期'!S15,'合同排期'!K15*'合同排期'!Q15,0)+IF(7='合同排期'!I15,'合同排期'!K15*'合同排期'!R15,0)+IF(7='合同排期'!J15,'合同排期'!L15,0)</x:f>
        <x:v>0</x:v>
      </x:c>
      <x:c r="L89" s="8" t="n">
        <x:f>IF(8='合同排期'!H15,'合同排期'!K15*'合同排期'!P15,0)+IF(8='合同排期'!S15,'合同排期'!K15*'合同排期'!Q15,0)+IF(8='合同排期'!I15,'合同排期'!K15*'合同排期'!R15,0)+IF(8='合同排期'!J15,'合同排期'!L15,0)</x:f>
        <x:v>0</x:v>
      </x:c>
      <x:c r="M89" s="8" t="n">
        <x:f>IF(9='合同排期'!H15,'合同排期'!K15*'合同排期'!P15,0)+IF(9='合同排期'!S15,'合同排期'!K15*'合同排期'!Q15,0)+IF(9='合同排期'!I15,'合同排期'!K15*'合同排期'!R15,0)+IF(9='合同排期'!J15,'合同排期'!L15,0)</x:f>
        <x:v>0</x:v>
      </x:c>
      <x:c r="N89" s="8" t="n">
        <x:f>IF(10='合同排期'!H15,'合同排期'!K15*'合同排期'!P15,0)+IF(10='合同排期'!S15,'合同排期'!K15*'合同排期'!Q15,0)+IF(10='合同排期'!I15,'合同排期'!K15*'合同排期'!R15,0)+IF(10='合同排期'!J15,'合同排期'!L15,0)</x:f>
        <x:v>0</x:v>
      </x:c>
      <x:c r="O89" s="8" t="n">
        <x:f>IF(11='合同排期'!H15,'合同排期'!K15*'合同排期'!P15,0)+IF(11='合同排期'!S15,'合同排期'!K15*'合同排期'!Q15,0)+IF(11='合同排期'!I15,'合同排期'!K15*'合同排期'!R15,0)+IF(11='合同排期'!J15,'合同排期'!L15,0)</x:f>
        <x:v>0</x:v>
      </x:c>
      <x:c r="P89" s="8" t="n">
        <x:f>IF(12='合同排期'!H15,'合同排期'!K15*'合同排期'!P15,0)+IF(12='合同排期'!S15,'合同排期'!K15*'合同排期'!Q15,0)+IF(12='合同排期'!I15,'合同排期'!K15*'合同排期'!R15,0)+IF(12='合同排期'!J15,'合同排期'!L15,0)</x:f>
        <x:v>0</x:v>
      </x:c>
      <x:c r="Q89" s="8" t="n">
        <x:f>IF(13='合同排期'!H15,'合同排期'!K15*'合同排期'!P15,0)+IF(13='合同排期'!S15,'合同排期'!K15*'合同排期'!Q15,0)+IF(13='合同排期'!I15,'合同排期'!K15*'合同排期'!R15,0)+IF(13='合同排期'!J15,'合同排期'!L15,0)</x:f>
        <x:v>0</x:v>
      </x:c>
      <x:c r="R89" s="8" t="n">
        <x:f>IF(14='合同排期'!H15,'合同排期'!K15*'合同排期'!P15,0)+IF(14='合同排期'!S15,'合同排期'!K15*'合同排期'!Q15,0)+IF(14='合同排期'!I15,'合同排期'!K15*'合同排期'!R15,0)+IF(14='合同排期'!J15,'合同排期'!L15,0)</x:f>
        <x:v>0</x:v>
      </x:c>
      <x:c r="S89" s="8" t="n">
        <x:f>IF(15='合同排期'!H15,'合同排期'!K15*'合同排期'!P15,0)+IF(15='合同排期'!S15,'合同排期'!K15*'合同排期'!Q15,0)+IF(15='合同排期'!I15,'合同排期'!K15*'合同排期'!R15,0)+IF(15='合同排期'!J15,'合同排期'!L15,0)</x:f>
        <x:v>0</x:v>
      </x:c>
      <x:c r="T89" s="8" t="n">
        <x:f>IF(16='合同排期'!H15,'合同排期'!K15*'合同排期'!P15,0)+IF(16='合同排期'!S15,'合同排期'!K15*'合同排期'!Q15,0)+IF(16='合同排期'!I15,'合同排期'!K15*'合同排期'!R15,0)+IF(16='合同排期'!J15,'合同排期'!L15,0)</x:f>
        <x:v>0</x:v>
      </x:c>
      <x:c r="U89" s="8" t="n">
        <x:f>IF(17='合同排期'!H15,'合同排期'!K15*'合同排期'!P15,0)+IF(17='合同排期'!S15,'合同排期'!K15*'合同排期'!Q15,0)+IF(17='合同排期'!I15,'合同排期'!K15*'合同排期'!R15,0)+IF(17='合同排期'!J15,'合同排期'!L15,0)</x:f>
        <x:v>0</x:v>
      </x:c>
      <x:c r="V89" s="8" t="n">
        <x:f>IF(18='合同排期'!H15,'合同排期'!K15*'合同排期'!P15,0)+IF(18='合同排期'!S15,'合同排期'!K15*'合同排期'!Q15,0)+IF(18='合同排期'!I15,'合同排期'!K15*'合同排期'!R15,0)+IF(18='合同排期'!J15,'合同排期'!L15,0)</x:f>
        <x:v>0</x:v>
      </x:c>
      <x:c r="W89" s="8" t="n">
        <x:f>IF(19='合同排期'!H15,'合同排期'!K15*'合同排期'!P15,0)+IF(19='合同排期'!S15,'合同排期'!K15*'合同排期'!Q15,0)+IF(19='合同排期'!I15,'合同排期'!K15*'合同排期'!R15,0)+IF(19='合同排期'!J15,'合同排期'!L15,0)</x:f>
        <x:v>0</x:v>
      </x:c>
      <x:c r="X89" s="8" t="n">
        <x:f>IF(20='合同排期'!H15,'合同排期'!K15*'合同排期'!P15,0)+IF(20='合同排期'!S15,'合同排期'!K15*'合同排期'!Q15,0)+IF(20='合同排期'!I15,'合同排期'!K15*'合同排期'!R15,0)+IF(20='合同排期'!J15,'合同排期'!L15,0)</x:f>
        <x:v>0</x:v>
      </x:c>
      <x:c r="Y89" s="8" t="n">
        <x:f>IF(21='合同排期'!H15,'合同排期'!K15*'合同排期'!P15,0)+IF(21='合同排期'!S15,'合同排期'!K15*'合同排期'!Q15,0)+IF(21='合同排期'!I15,'合同排期'!K15*'合同排期'!R15,0)+IF(21='合同排期'!J15,'合同排期'!L15,0)</x:f>
        <x:v>0</x:v>
      </x:c>
      <x:c r="Z89" s="8" t="n">
        <x:f>IF(22='合同排期'!H15,'合同排期'!K15*'合同排期'!P15,0)+IF(22='合同排期'!S15,'合同排期'!K15*'合同排期'!Q15,0)+IF(22='合同排期'!I15,'合同排期'!K15*'合同排期'!R15,0)+IF(22='合同排期'!J15,'合同排期'!L15,0)</x:f>
        <x:v>0</x:v>
      </x:c>
      <x:c r="AA89" s="8" t="n">
        <x:f>IF(23='合同排期'!H15,'合同排期'!K15*'合同排期'!P15,0)+IF(23='合同排期'!S15,'合同排期'!K15*'合同排期'!Q15,0)+IF(23='合同排期'!I15,'合同排期'!K15*'合同排期'!R15,0)+IF(23='合同排期'!J15,'合同排期'!L15,0)</x:f>
        <x:v>0</x:v>
      </x:c>
      <x:c r="AB89" s="8" t="n">
        <x:f>IF(24='合同排期'!H15,'合同排期'!K15*'合同排期'!P15,0)+IF(24='合同排期'!S15,'合同排期'!K15*'合同排期'!Q15,0)+IF(24='合同排期'!I15,'合同排期'!K15*'合同排期'!R15,0)+IF(24='合同排期'!J15,'合同排期'!L15,0)</x:f>
        <x:v>0</x:v>
      </x:c>
    </x:row>
    <x:row r="90" ht="23" customHeight="1">
      <x:c r="A90" s="1"/>
      <x:c r="B90" s="1"/>
      <x:c r="C90" s="1" t="str">
        <x:v>P10</x:v>
      </x:c>
      <x:c r="D90" s="1" t="str">
        <x:v>回款</x:v>
      </x:c>
      <x:c r="E90" s="8" t="n">
        <x:f>IF(1&gt;'假设'!D27,INDEX($E89:$AB89,1,1-'假设'!D27),0)</x:f>
        <x:v>0</x:v>
      </x:c>
      <x:c r="F90" s="8" t="n">
        <x:f>IF(2&gt;'假设'!D27,INDEX($E89:$AB89,1,2-'假设'!D27),0)</x:f>
        <x:v>0</x:v>
      </x:c>
      <x:c r="G90" s="8" t="n">
        <x:f>IF(3&gt;'假设'!D27,INDEX($E89:$AB89,1,3-'假设'!D27),0)</x:f>
        <x:v>0</x:v>
      </x:c>
      <x:c r="H90" s="8" t="n">
        <x:f>IF(4&gt;'假设'!D27,INDEX($E89:$AB89,1,4-'假设'!D27),0)</x:f>
        <x:v>0</x:v>
      </x:c>
      <x:c r="I90" s="8" t="n">
        <x:f>IF(5&gt;'假设'!D27,INDEX($E89:$AB89,1,5-'假设'!D27),0)</x:f>
        <x:v>0</x:v>
      </x:c>
      <x:c r="J90" s="8" t="n">
        <x:f>IF(6&gt;'假设'!D27,INDEX($E89:$AB89,1,6-'假设'!D27),0)</x:f>
        <x:v>0</x:v>
      </x:c>
      <x:c r="K90" s="8" t="n">
        <x:f>IF(7&gt;'假设'!D27,INDEX($E89:$AB89,1,7-'假设'!D27),0)</x:f>
        <x:v>0</x:v>
      </x:c>
      <x:c r="L90" s="8" t="n">
        <x:f>IF(8&gt;'假设'!D27,INDEX($E89:$AB89,1,8-'假设'!D27),0)</x:f>
        <x:v>0</x:v>
      </x:c>
      <x:c r="M90" s="8" t="n">
        <x:f>IF(9&gt;'假设'!D27,INDEX($E89:$AB89,1,9-'假设'!D27),0)</x:f>
        <x:v>0</x:v>
      </x:c>
      <x:c r="N90" s="8" t="n">
        <x:f>IF(10&gt;'假设'!D27,INDEX($E89:$AB89,1,10-'假设'!D27),0)</x:f>
        <x:v>0</x:v>
      </x:c>
      <x:c r="O90" s="8" t="n">
        <x:f>IF(11&gt;'假设'!D27,INDEX($E89:$AB89,1,11-'假设'!D27),0)</x:f>
        <x:v>0</x:v>
      </x:c>
      <x:c r="P90" s="8" t="n">
        <x:f>IF(12&gt;'假设'!D27,INDEX($E89:$AB89,1,12-'假设'!D27),0)</x:f>
        <x:v>0</x:v>
      </x:c>
      <x:c r="Q90" s="8" t="n">
        <x:f>IF(13&gt;'假设'!D27,INDEX($E89:$AB89,1,13-'假设'!D27),0)</x:f>
        <x:v>0</x:v>
      </x:c>
      <x:c r="R90" s="8" t="n">
        <x:f>IF(14&gt;'假设'!D27,INDEX($E89:$AB89,1,14-'假设'!D27),0)</x:f>
        <x:v>0</x:v>
      </x:c>
      <x:c r="S90" s="8" t="n">
        <x:f>IF(15&gt;'假设'!D27,INDEX($E89:$AB89,1,15-'假设'!D27),0)</x:f>
        <x:v>0</x:v>
      </x:c>
      <x:c r="T90" s="8" t="n">
        <x:f>IF(16&gt;'假设'!D27,INDEX($E89:$AB89,1,16-'假设'!D27),0)</x:f>
        <x:v>0</x:v>
      </x:c>
      <x:c r="U90" s="8" t="n">
        <x:f>IF(17&gt;'假设'!D27,INDEX($E89:$AB89,1,17-'假设'!D27),0)</x:f>
        <x:v>0</x:v>
      </x:c>
      <x:c r="V90" s="8" t="n">
        <x:f>IF(18&gt;'假设'!D27,INDEX($E89:$AB89,1,18-'假设'!D27),0)</x:f>
        <x:v>0</x:v>
      </x:c>
      <x:c r="W90" s="8" t="n">
        <x:f>IF(19&gt;'假设'!D27,INDEX($E89:$AB89,1,19-'假设'!D27),0)</x:f>
        <x:v>0</x:v>
      </x:c>
      <x:c r="X90" s="8" t="n">
        <x:f>IF(20&gt;'假设'!D27,INDEX($E89:$AB89,1,20-'假设'!D27),0)</x:f>
        <x:v>0</x:v>
      </x:c>
      <x:c r="Y90" s="8" t="n">
        <x:f>IF(21&gt;'假设'!D27,INDEX($E89:$AB89,1,21-'假设'!D27),0)</x:f>
        <x:v>0</x:v>
      </x:c>
      <x:c r="Z90" s="8" t="n">
        <x:f>IF(22&gt;'假设'!D27,INDEX($E89:$AB89,1,22-'假设'!D27),0)</x:f>
        <x:v>0</x:v>
      </x:c>
      <x:c r="AA90" s="8" t="n">
        <x:f>IF(23&gt;'假设'!D27,INDEX($E89:$AB89,1,23-'假设'!D27),0)</x:f>
        <x:v>0</x:v>
      </x:c>
      <x:c r="AB90" s="8" t="n">
        <x:f>IF(24&gt;'假设'!D27,INDEX($E89:$AB89,1,24-'假设'!D27),0)</x:f>
        <x:v>0</x:v>
      </x:c>
    </x:row>
    <x:row r="91" ht="23" customHeight="1">
      <x:c r="A91" s="1"/>
      <x:c r="B91" s="1"/>
      <x:c r="C91" s="1" t="str">
        <x:v>P10</x:v>
      </x:c>
      <x:c r="D91" s="1" t="str">
        <x:v>直接损益成本</x:v>
      </x:c>
      <x:c r="E91" s="8" t="n">
        <x:f>IF(1='合同排期'!I15,'合同排期'!N15,0)+IF(AND(1&gt;='合同排期'!J15,1&lt;'合同排期'!J15+12),'合同排期'!O15,0)+E87*'假设'!D47</x:f>
        <x:v>0</x:v>
      </x:c>
      <x:c r="F91" s="8" t="n">
        <x:f>IF(2='合同排期'!I15,'合同排期'!N15,0)+IF(AND(2&gt;='合同排期'!J15,2&lt;'合同排期'!J15+12),'合同排期'!O15,0)+F87*'假设'!D47</x:f>
        <x:v>0</x:v>
      </x:c>
      <x:c r="G91" s="8" t="n">
        <x:f>IF(3='合同排期'!I15,'合同排期'!N15,0)+IF(AND(3&gt;='合同排期'!J15,3&lt;'合同排期'!J15+12),'合同排期'!O15,0)+G87*'假设'!D47</x:f>
        <x:v>0</x:v>
      </x:c>
      <x:c r="H91" s="8" t="n">
        <x:f>IF(4='合同排期'!I15,'合同排期'!N15,0)+IF(AND(4&gt;='合同排期'!J15,4&lt;'合同排期'!J15+12),'合同排期'!O15,0)+H87*'假设'!D47</x:f>
        <x:v>0</x:v>
      </x:c>
      <x:c r="I91" s="8" t="n">
        <x:f>IF(5='合同排期'!I15,'合同排期'!N15,0)+IF(AND(5&gt;='合同排期'!J15,5&lt;'合同排期'!J15+12),'合同排期'!O15,0)+I87*'假设'!D47</x:f>
        <x:v>0</x:v>
      </x:c>
      <x:c r="J91" s="8" t="n">
        <x:f>IF(6='合同排期'!I15,'合同排期'!N15,0)+IF(AND(6&gt;='合同排期'!J15,6&lt;'合同排期'!J15+12),'合同排期'!O15,0)+J87*'假设'!D47</x:f>
        <x:v>0</x:v>
      </x:c>
      <x:c r="K91" s="8" t="n">
        <x:f>IF(7='合同排期'!I15,'合同排期'!N15,0)+IF(AND(7&gt;='合同排期'!J15,7&lt;'合同排期'!J15+12),'合同排期'!O15,0)+K87*'假设'!D47</x:f>
        <x:v>0</x:v>
      </x:c>
      <x:c r="L91" s="8" t="n">
        <x:f>IF(8='合同排期'!I15,'合同排期'!N15,0)+IF(AND(8&gt;='合同排期'!J15,8&lt;'合同排期'!J15+12),'合同排期'!O15,0)+L87*'假设'!D47</x:f>
        <x:v>0</x:v>
      </x:c>
      <x:c r="M91" s="8" t="n">
        <x:f>IF(9='合同排期'!I15,'合同排期'!N15,0)+IF(AND(9&gt;='合同排期'!J15,9&lt;'合同排期'!J15+12),'合同排期'!O15,0)+M87*'假设'!D47</x:f>
        <x:v>0</x:v>
      </x:c>
      <x:c r="N91" s="8" t="n">
        <x:f>IF(10='合同排期'!I15,'合同排期'!N15,0)+IF(AND(10&gt;='合同排期'!J15,10&lt;'合同排期'!J15+12),'合同排期'!O15,0)+N87*'假设'!D47</x:f>
        <x:v>0</x:v>
      </x:c>
      <x:c r="O91" s="8" t="n">
        <x:f>IF(11='合同排期'!I15,'合同排期'!N15,0)+IF(AND(11&gt;='合同排期'!J15,11&lt;'合同排期'!J15+12),'合同排期'!O15,0)+O87*'假设'!D47</x:f>
        <x:v>0</x:v>
      </x:c>
      <x:c r="P91" s="8" t="n">
        <x:f>IF(12='合同排期'!I15,'合同排期'!N15,0)+IF(AND(12&gt;='合同排期'!J15,12&lt;'合同排期'!J15+12),'合同排期'!O15,0)+P87*'假设'!D47</x:f>
        <x:v>0</x:v>
      </x:c>
      <x:c r="Q91" s="8" t="n">
        <x:f>IF(13='合同排期'!I15,'合同排期'!N15,0)+IF(AND(13&gt;='合同排期'!J15,13&lt;'合同排期'!J15+12),'合同排期'!O15,0)+Q87*'假设'!D47</x:f>
        <x:v>0</x:v>
      </x:c>
      <x:c r="R91" s="8" t="n">
        <x:f>IF(14='合同排期'!I15,'合同排期'!N15,0)+IF(AND(14&gt;='合同排期'!J15,14&lt;'合同排期'!J15+12),'合同排期'!O15,0)+R87*'假设'!D47</x:f>
        <x:v>0</x:v>
      </x:c>
      <x:c r="S91" s="8" t="n">
        <x:f>IF(15='合同排期'!I15,'合同排期'!N15,0)+IF(AND(15&gt;='合同排期'!J15,15&lt;'合同排期'!J15+12),'合同排期'!O15,0)+S87*'假设'!D47</x:f>
        <x:v>0</x:v>
      </x:c>
      <x:c r="T91" s="8" t="n">
        <x:f>IF(16='合同排期'!I15,'合同排期'!N15,0)+IF(AND(16&gt;='合同排期'!J15,16&lt;'合同排期'!J15+12),'合同排期'!O15,0)+T87*'假设'!D47</x:f>
        <x:v>0</x:v>
      </x:c>
      <x:c r="U91" s="8" t="n">
        <x:f>IF(17='合同排期'!I15,'合同排期'!N15,0)+IF(AND(17&gt;='合同排期'!J15,17&lt;'合同排期'!J15+12),'合同排期'!O15,0)+U87*'假设'!D47</x:f>
        <x:v>0</x:v>
      </x:c>
      <x:c r="V91" s="8" t="n">
        <x:f>IF(18='合同排期'!I15,'合同排期'!N15,0)+IF(AND(18&gt;='合同排期'!J15,18&lt;'合同排期'!J15+12),'合同排期'!O15,0)+V87*'假设'!D47</x:f>
        <x:v>0</x:v>
      </x:c>
      <x:c r="W91" s="8" t="n">
        <x:f>IF(19='合同排期'!I15,'合同排期'!N15,0)+IF(AND(19&gt;='合同排期'!J15,19&lt;'合同排期'!J15+12),'合同排期'!O15,0)+W87*'假设'!D47</x:f>
        <x:v>0</x:v>
      </x:c>
      <x:c r="X91" s="8" t="n">
        <x:f>IF(20='合同排期'!I15,'合同排期'!N15,0)+IF(AND(20&gt;='合同排期'!J15,20&lt;'合同排期'!J15+12),'合同排期'!O15,0)+X87*'假设'!D47</x:f>
        <x:v>0</x:v>
      </x:c>
      <x:c r="Y91" s="8" t="n">
        <x:f>IF(21='合同排期'!I15,'合同排期'!N15,0)+IF(AND(21&gt;='合同排期'!J15,21&lt;'合同排期'!J15+12),'合同排期'!O15,0)+Y87*'假设'!D47</x:f>
        <x:v>0</x:v>
      </x:c>
      <x:c r="Z91" s="8" t="n">
        <x:f>IF(22='合同排期'!I15,'合同排期'!N15,0)+IF(AND(22&gt;='合同排期'!J15,22&lt;'合同排期'!J15+12),'合同排期'!O15,0)+Z87*'假设'!D47</x:f>
        <x:v>0</x:v>
      </x:c>
      <x:c r="AA91" s="8" t="n">
        <x:f>IF(23='合同排期'!I15,'合同排期'!N15,0)+IF(AND(23&gt;='合同排期'!J15,23&lt;'合同排期'!J15+12),'合同排期'!O15,0)+AA87*'假设'!D47</x:f>
        <x:v>0</x:v>
      </x:c>
      <x:c r="AB91" s="8" t="n">
        <x:f>IF(24='合同排期'!I15,'合同排期'!N15,0)+IF(AND(24&gt;='合同排期'!J15,24&lt;'合同排期'!J15+12),'合同排期'!O15,0)+AB87*'假设'!D47</x:f>
        <x:v>0</x:v>
      </x:c>
    </x:row>
    <x:row r="92" ht="23" customHeight="1">
      <x:c r="A92" s="1"/>
      <x:c r="B92" s="1"/>
      <x:c r="C92" s="1" t="str">
        <x:v>P10</x:v>
      </x:c>
      <x:c r="D92" s="1" t="str">
        <x:v>直接现金成本</x:v>
      </x:c>
      <x:c r="E92" s="8" t="n">
        <x:f>IF(AND(1&gt;='合同排期'!H15,1&lt;='合同排期'!I15),'合同排期'!N15/('合同排期'!I15-'合同排期'!H15+1),0)+IF(AND(1&gt;='合同排期'!J15,1&lt;'合同排期'!J15+12),'合同排期'!O15,0)+E90*'假设'!D47</x:f>
        <x:v>0</x:v>
      </x:c>
      <x:c r="F92" s="8" t="n">
        <x:f>IF(AND(2&gt;='合同排期'!H15,2&lt;='合同排期'!I15),'合同排期'!N15/('合同排期'!I15-'合同排期'!H15+1),0)+IF(AND(2&gt;='合同排期'!J15,2&lt;'合同排期'!J15+12),'合同排期'!O15,0)+F90*'假设'!D47</x:f>
        <x:v>0</x:v>
      </x:c>
      <x:c r="G92" s="8" t="n">
        <x:f>IF(AND(3&gt;='合同排期'!H15,3&lt;='合同排期'!I15),'合同排期'!N15/('合同排期'!I15-'合同排期'!H15+1),0)+IF(AND(3&gt;='合同排期'!J15,3&lt;'合同排期'!J15+12),'合同排期'!O15,0)+G90*'假设'!D47</x:f>
        <x:v>0</x:v>
      </x:c>
      <x:c r="H92" s="8" t="n">
        <x:f>IF(AND(4&gt;='合同排期'!H15,4&lt;='合同排期'!I15),'合同排期'!N15/('合同排期'!I15-'合同排期'!H15+1),0)+IF(AND(4&gt;='合同排期'!J15,4&lt;'合同排期'!J15+12),'合同排期'!O15,0)+H90*'假设'!D47</x:f>
        <x:v>0</x:v>
      </x:c>
      <x:c r="I92" s="8" t="n">
        <x:f>IF(AND(5&gt;='合同排期'!H15,5&lt;='合同排期'!I15),'合同排期'!N15/('合同排期'!I15-'合同排期'!H15+1),0)+IF(AND(5&gt;='合同排期'!J15,5&lt;'合同排期'!J15+12),'合同排期'!O15,0)+I90*'假设'!D47</x:f>
        <x:v>0</x:v>
      </x:c>
      <x:c r="J92" s="8" t="n">
        <x:f>IF(AND(6&gt;='合同排期'!H15,6&lt;='合同排期'!I15),'合同排期'!N15/('合同排期'!I15-'合同排期'!H15+1),0)+IF(AND(6&gt;='合同排期'!J15,6&lt;'合同排期'!J15+12),'合同排期'!O15,0)+J90*'假设'!D47</x:f>
        <x:v>0</x:v>
      </x:c>
      <x:c r="K92" s="8" t="n">
        <x:f>IF(AND(7&gt;='合同排期'!H15,7&lt;='合同排期'!I15),'合同排期'!N15/('合同排期'!I15-'合同排期'!H15+1),0)+IF(AND(7&gt;='合同排期'!J15,7&lt;'合同排期'!J15+12),'合同排期'!O15,0)+K90*'假设'!D47</x:f>
        <x:v>0</x:v>
      </x:c>
      <x:c r="L92" s="8" t="n">
        <x:f>IF(AND(8&gt;='合同排期'!H15,8&lt;='合同排期'!I15),'合同排期'!N15/('合同排期'!I15-'合同排期'!H15+1),0)+IF(AND(8&gt;='合同排期'!J15,8&lt;'合同排期'!J15+12),'合同排期'!O15,0)+L90*'假设'!D47</x:f>
        <x:v>0</x:v>
      </x:c>
      <x:c r="M92" s="8" t="n">
        <x:f>IF(AND(9&gt;='合同排期'!H15,9&lt;='合同排期'!I15),'合同排期'!N15/('合同排期'!I15-'合同排期'!H15+1),0)+IF(AND(9&gt;='合同排期'!J15,9&lt;'合同排期'!J15+12),'合同排期'!O15,0)+M90*'假设'!D47</x:f>
        <x:v>0</x:v>
      </x:c>
      <x:c r="N92" s="8" t="n">
        <x:f>IF(AND(10&gt;='合同排期'!H15,10&lt;='合同排期'!I15),'合同排期'!N15/('合同排期'!I15-'合同排期'!H15+1),0)+IF(AND(10&gt;='合同排期'!J15,10&lt;'合同排期'!J15+12),'合同排期'!O15,0)+N90*'假设'!D47</x:f>
        <x:v>0</x:v>
      </x:c>
      <x:c r="O92" s="8" t="n">
        <x:f>IF(AND(11&gt;='合同排期'!H15,11&lt;='合同排期'!I15),'合同排期'!N15/('合同排期'!I15-'合同排期'!H15+1),0)+IF(AND(11&gt;='合同排期'!J15,11&lt;'合同排期'!J15+12),'合同排期'!O15,0)+O90*'假设'!D47</x:f>
        <x:v>0</x:v>
      </x:c>
      <x:c r="P92" s="8" t="n">
        <x:f>IF(AND(12&gt;='合同排期'!H15,12&lt;='合同排期'!I15),'合同排期'!N15/('合同排期'!I15-'合同排期'!H15+1),0)+IF(AND(12&gt;='合同排期'!J15,12&lt;'合同排期'!J15+12),'合同排期'!O15,0)+P90*'假设'!D47</x:f>
        <x:v>0</x:v>
      </x:c>
      <x:c r="Q92" s="8" t="n">
        <x:f>IF(AND(13&gt;='合同排期'!H15,13&lt;='合同排期'!I15),'合同排期'!N15/('合同排期'!I15-'合同排期'!H15+1),0)+IF(AND(13&gt;='合同排期'!J15,13&lt;'合同排期'!J15+12),'合同排期'!O15,0)+Q90*'假设'!D47</x:f>
        <x:v>0</x:v>
      </x:c>
      <x:c r="R92" s="8" t="n">
        <x:f>IF(AND(14&gt;='合同排期'!H15,14&lt;='合同排期'!I15),'合同排期'!N15/('合同排期'!I15-'合同排期'!H15+1),0)+IF(AND(14&gt;='合同排期'!J15,14&lt;'合同排期'!J15+12),'合同排期'!O15,0)+R90*'假设'!D47</x:f>
        <x:v>0</x:v>
      </x:c>
      <x:c r="S92" s="8" t="n">
        <x:f>IF(AND(15&gt;='合同排期'!H15,15&lt;='合同排期'!I15),'合同排期'!N15/('合同排期'!I15-'合同排期'!H15+1),0)+IF(AND(15&gt;='合同排期'!J15,15&lt;'合同排期'!J15+12),'合同排期'!O15,0)+S90*'假设'!D47</x:f>
        <x:v>0</x:v>
      </x:c>
      <x:c r="T92" s="8" t="n">
        <x:f>IF(AND(16&gt;='合同排期'!H15,16&lt;='合同排期'!I15),'合同排期'!N15/('合同排期'!I15-'合同排期'!H15+1),0)+IF(AND(16&gt;='合同排期'!J15,16&lt;'合同排期'!J15+12),'合同排期'!O15,0)+T90*'假设'!D47</x:f>
        <x:v>0</x:v>
      </x:c>
      <x:c r="U92" s="8" t="n">
        <x:f>IF(AND(17&gt;='合同排期'!H15,17&lt;='合同排期'!I15),'合同排期'!N15/('合同排期'!I15-'合同排期'!H15+1),0)+IF(AND(17&gt;='合同排期'!J15,17&lt;'合同排期'!J15+12),'合同排期'!O15,0)+U90*'假设'!D47</x:f>
        <x:v>0</x:v>
      </x:c>
      <x:c r="V92" s="8" t="n">
        <x:f>IF(AND(18&gt;='合同排期'!H15,18&lt;='合同排期'!I15),'合同排期'!N15/('合同排期'!I15-'合同排期'!H15+1),0)+IF(AND(18&gt;='合同排期'!J15,18&lt;'合同排期'!J15+12),'合同排期'!O15,0)+V90*'假设'!D47</x:f>
        <x:v>0</x:v>
      </x:c>
      <x:c r="W92" s="8" t="n">
        <x:f>IF(AND(19&gt;='合同排期'!H15,19&lt;='合同排期'!I15),'合同排期'!N15/('合同排期'!I15-'合同排期'!H15+1),0)+IF(AND(19&gt;='合同排期'!J15,19&lt;'合同排期'!J15+12),'合同排期'!O15,0)+W90*'假设'!D47</x:f>
        <x:v>0</x:v>
      </x:c>
      <x:c r="X92" s="8" t="n">
        <x:f>IF(AND(20&gt;='合同排期'!H15,20&lt;='合同排期'!I15),'合同排期'!N15/('合同排期'!I15-'合同排期'!H15+1),0)+IF(AND(20&gt;='合同排期'!J15,20&lt;'合同排期'!J15+12),'合同排期'!O15,0)+X90*'假设'!D47</x:f>
        <x:v>0</x:v>
      </x:c>
      <x:c r="Y92" s="8" t="n">
        <x:f>IF(AND(21&gt;='合同排期'!H15,21&lt;='合同排期'!I15),'合同排期'!N15/('合同排期'!I15-'合同排期'!H15+1),0)+IF(AND(21&gt;='合同排期'!J15,21&lt;'合同排期'!J15+12),'合同排期'!O15,0)+Y90*'假设'!D47</x:f>
        <x:v>0</x:v>
      </x:c>
      <x:c r="Z92" s="8" t="n">
        <x:f>IF(AND(22&gt;='合同排期'!H15,22&lt;='合同排期'!I15),'合同排期'!N15/('合同排期'!I15-'合同排期'!H15+1),0)+IF(AND(22&gt;='合同排期'!J15,22&lt;'合同排期'!J15+12),'合同排期'!O15,0)+Z90*'假设'!D47</x:f>
        <x:v>0</x:v>
      </x:c>
      <x:c r="AA92" s="8" t="n">
        <x:f>IF(AND(23&gt;='合同排期'!H15,23&lt;='合同排期'!I15),'合同排期'!N15/('合同排期'!I15-'合同排期'!H15+1),0)+IF(AND(23&gt;='合同排期'!J15,23&lt;'合同排期'!J15+12),'合同排期'!O15,0)+AA90*'假设'!D47</x:f>
        <x:v>0</x:v>
      </x:c>
      <x:c r="AB92" s="8" t="n">
        <x:f>IF(AND(24&gt;='合同排期'!H15,24&lt;='合同排期'!I15),'合同排期'!N15/('合同排期'!I15-'合同排期'!H15+1),0)+IF(AND(24&gt;='合同排期'!J15,24&lt;'合同排期'!J15+12),'合同排期'!O15,0)+AB90*'假设'!D47</x:f>
        <x:v>0</x:v>
      </x:c>
    </x:row>
    <x:row r="93" ht="23" customHeight="1">
      <x:c r="A93" s="1"/>
      <x:c r="B93" s="1"/>
      <x:c r="C93" s="1" t="str">
        <x:v>P10</x:v>
      </x:c>
      <x:c r="D93" s="1" t="str">
        <x:v>工程交付人月</x:v>
      </x:c>
      <x:c r="E93" s="8" t="n">
        <x:f>IF(AND(1&gt;='合同排期'!H15,1&lt;='合同排期'!I15),'合同排期'!M15/('合同排期'!I15-'合同排期'!H15+1),0)</x:f>
        <x:v>0</x:v>
      </x:c>
      <x:c r="F93" s="8" t="n">
        <x:f>IF(AND(2&gt;='合同排期'!H15,2&lt;='合同排期'!I15),'合同排期'!M15/('合同排期'!I15-'合同排期'!H15+1),0)</x:f>
        <x:v>0</x:v>
      </x:c>
      <x:c r="G93" s="8" t="n">
        <x:f>IF(AND(3&gt;='合同排期'!H15,3&lt;='合同排期'!I15),'合同排期'!M15/('合同排期'!I15-'合同排期'!H15+1),0)</x:f>
        <x:v>0</x:v>
      </x:c>
      <x:c r="H93" s="8" t="n">
        <x:f>IF(AND(4&gt;='合同排期'!H15,4&lt;='合同排期'!I15),'合同排期'!M15/('合同排期'!I15-'合同排期'!H15+1),0)</x:f>
        <x:v>0</x:v>
      </x:c>
      <x:c r="I93" s="8" t="n">
        <x:f>IF(AND(5&gt;='合同排期'!H15,5&lt;='合同排期'!I15),'合同排期'!M15/('合同排期'!I15-'合同排期'!H15+1),0)</x:f>
        <x:v>0</x:v>
      </x:c>
      <x:c r="J93" s="8" t="n">
        <x:f>IF(AND(6&gt;='合同排期'!H15,6&lt;='合同排期'!I15),'合同排期'!M15/('合同排期'!I15-'合同排期'!H15+1),0)</x:f>
        <x:v>0</x:v>
      </x:c>
      <x:c r="K93" s="8" t="n">
        <x:f>IF(AND(7&gt;='合同排期'!H15,7&lt;='合同排期'!I15),'合同排期'!M15/('合同排期'!I15-'合同排期'!H15+1),0)</x:f>
        <x:v>0</x:v>
      </x:c>
      <x:c r="L93" s="8" t="n">
        <x:f>IF(AND(8&gt;='合同排期'!H15,8&lt;='合同排期'!I15),'合同排期'!M15/('合同排期'!I15-'合同排期'!H15+1),0)</x:f>
        <x:v>0</x:v>
      </x:c>
      <x:c r="M93" s="8" t="n">
        <x:f>IF(AND(9&gt;='合同排期'!H15,9&lt;='合同排期'!I15),'合同排期'!M15/('合同排期'!I15-'合同排期'!H15+1),0)</x:f>
        <x:v>0</x:v>
      </x:c>
      <x:c r="N93" s="8" t="n">
        <x:f>IF(AND(10&gt;='合同排期'!H15,10&lt;='合同排期'!I15),'合同排期'!M15/('合同排期'!I15-'合同排期'!H15+1),0)</x:f>
        <x:v>0</x:v>
      </x:c>
      <x:c r="O93" s="8" t="n">
        <x:f>IF(AND(11&gt;='合同排期'!H15,11&lt;='合同排期'!I15),'合同排期'!M15/('合同排期'!I15-'合同排期'!H15+1),0)</x:f>
        <x:v>0</x:v>
      </x:c>
      <x:c r="P93" s="8" t="n">
        <x:f>IF(AND(12&gt;='合同排期'!H15,12&lt;='合同排期'!I15),'合同排期'!M15/('合同排期'!I15-'合同排期'!H15+1),0)</x:f>
        <x:v>0</x:v>
      </x:c>
      <x:c r="Q93" s="8" t="n">
        <x:f>IF(AND(13&gt;='合同排期'!H15,13&lt;='合同排期'!I15),'合同排期'!M15/('合同排期'!I15-'合同排期'!H15+1),0)</x:f>
        <x:v>0</x:v>
      </x:c>
      <x:c r="R93" s="8" t="n">
        <x:f>IF(AND(14&gt;='合同排期'!H15,14&lt;='合同排期'!I15),'合同排期'!M15/('合同排期'!I15-'合同排期'!H15+1),0)</x:f>
        <x:v>0</x:v>
      </x:c>
      <x:c r="S93" s="8" t="n">
        <x:f>IF(AND(15&gt;='合同排期'!H15,15&lt;='合同排期'!I15),'合同排期'!M15/('合同排期'!I15-'合同排期'!H15+1),0)</x:f>
        <x:v>0</x:v>
      </x:c>
      <x:c r="T93" s="8" t="n">
        <x:f>IF(AND(16&gt;='合同排期'!H15,16&lt;='合同排期'!I15),'合同排期'!M15/('合同排期'!I15-'合同排期'!H15+1),0)</x:f>
        <x:v>0</x:v>
      </x:c>
      <x:c r="U93" s="8" t="n">
        <x:f>IF(AND(17&gt;='合同排期'!H15,17&lt;='合同排期'!I15),'合同排期'!M15/('合同排期'!I15-'合同排期'!H15+1),0)</x:f>
        <x:v>0</x:v>
      </x:c>
      <x:c r="V93" s="8" t="n">
        <x:f>IF(AND(18&gt;='合同排期'!H15,18&lt;='合同排期'!I15),'合同排期'!M15/('合同排期'!I15-'合同排期'!H15+1),0)</x:f>
        <x:v>0</x:v>
      </x:c>
      <x:c r="W93" s="8" t="n">
        <x:f>IF(AND(19&gt;='合同排期'!H15,19&lt;='合同排期'!I15),'合同排期'!M15/('合同排期'!I15-'合同排期'!H15+1),0)</x:f>
        <x:v>0</x:v>
      </x:c>
      <x:c r="X93" s="8" t="n">
        <x:f>IF(AND(20&gt;='合同排期'!H15,20&lt;='合同排期'!I15),'合同排期'!M15/('合同排期'!I15-'合同排期'!H15+1),0)</x:f>
        <x:v>0</x:v>
      </x:c>
      <x:c r="Y93" s="8" t="n">
        <x:f>IF(AND(21&gt;='合同排期'!H15,21&lt;='合同排期'!I15),'合同排期'!M15/('合同排期'!I15-'合同排期'!H15+1),0)</x:f>
        <x:v>0</x:v>
      </x:c>
      <x:c r="Z93" s="8" t="n">
        <x:f>IF(AND(22&gt;='合同排期'!H15,22&lt;='合同排期'!I15),'合同排期'!M15/('合同排期'!I15-'合同排期'!H15+1),0)</x:f>
        <x:v>0</x:v>
      </x:c>
      <x:c r="AA93" s="8" t="n">
        <x:f>IF(AND(23&gt;='合同排期'!H15,23&lt;='合同排期'!I15),'合同排期'!M15/('合同排期'!I15-'合同排期'!H15+1),0)</x:f>
        <x:v>0</x:v>
      </x:c>
      <x:c r="AB93" s="8" t="n">
        <x:f>IF(AND(24&gt;='合同排期'!H15,24&lt;='合同排期'!I15),'合同排期'!M15/('合同排期'!I15-'合同排期'!H15+1),0)</x:f>
        <x:v>0</x:v>
      </x:c>
    </x:row>
    <x:row r="94" ht="23" customHeight="1">
      <x:c r="A94" s="1"/>
      <x:c r="B94" s="1"/>
      <x:c r="C94" s="1" t="str">
        <x:v>P10</x:v>
      </x:c>
      <x:c r="D94" s="1" t="str">
        <x:v>生效ARR</x:v>
      </x:c>
      <x:c r="E94" s="8" t="n">
        <x:f>IF(AND(1&gt;='合同排期'!J15,1&lt;'合同排期'!J15+12),'合同排期'!L15,0)</x:f>
        <x:v>0</x:v>
      </x:c>
      <x:c r="F94" s="8" t="n">
        <x:f>IF(AND(2&gt;='合同排期'!J15,2&lt;'合同排期'!J15+12),'合同排期'!L15,0)</x:f>
        <x:v>0</x:v>
      </x:c>
      <x:c r="G94" s="8" t="n">
        <x:f>IF(AND(3&gt;='合同排期'!J15,3&lt;'合同排期'!J15+12),'合同排期'!L15,0)</x:f>
        <x:v>0</x:v>
      </x:c>
      <x:c r="H94" s="8" t="n">
        <x:f>IF(AND(4&gt;='合同排期'!J15,4&lt;'合同排期'!J15+12),'合同排期'!L15,0)</x:f>
        <x:v>0</x:v>
      </x:c>
      <x:c r="I94" s="8" t="n">
        <x:f>IF(AND(5&gt;='合同排期'!J15,5&lt;'合同排期'!J15+12),'合同排期'!L15,0)</x:f>
        <x:v>0</x:v>
      </x:c>
      <x:c r="J94" s="8" t="n">
        <x:f>IF(AND(6&gt;='合同排期'!J15,6&lt;'合同排期'!J15+12),'合同排期'!L15,0)</x:f>
        <x:v>0</x:v>
      </x:c>
      <x:c r="K94" s="8" t="n">
        <x:f>IF(AND(7&gt;='合同排期'!J15,7&lt;'合同排期'!J15+12),'合同排期'!L15,0)</x:f>
        <x:v>0</x:v>
      </x:c>
      <x:c r="L94" s="8" t="n">
        <x:f>IF(AND(8&gt;='合同排期'!J15,8&lt;'合同排期'!J15+12),'合同排期'!L15,0)</x:f>
        <x:v>0</x:v>
      </x:c>
      <x:c r="M94" s="8" t="n">
        <x:f>IF(AND(9&gt;='合同排期'!J15,9&lt;'合同排期'!J15+12),'合同排期'!L15,0)</x:f>
        <x:v>0</x:v>
      </x:c>
      <x:c r="N94" s="8" t="n">
        <x:f>IF(AND(10&gt;='合同排期'!J15,10&lt;'合同排期'!J15+12),'合同排期'!L15,0)</x:f>
        <x:v>0</x:v>
      </x:c>
      <x:c r="O94" s="8" t="n">
        <x:f>IF(AND(11&gt;='合同排期'!J15,11&lt;'合同排期'!J15+12),'合同排期'!L15,0)</x:f>
        <x:v>0</x:v>
      </x:c>
      <x:c r="P94" s="8" t="n">
        <x:f>IF(AND(12&gt;='合同排期'!J15,12&lt;'合同排期'!J15+12),'合同排期'!L15,0)</x:f>
        <x:v>0</x:v>
      </x:c>
      <x:c r="Q94" s="8" t="n">
        <x:f>IF(AND(13&gt;='合同排期'!J15,13&lt;'合同排期'!J15+12),'合同排期'!L15,0)</x:f>
        <x:v>0</x:v>
      </x:c>
      <x:c r="R94" s="8" t="n">
        <x:f>IF(AND(14&gt;='合同排期'!J15,14&lt;'合同排期'!J15+12),'合同排期'!L15,0)</x:f>
        <x:v>0</x:v>
      </x:c>
      <x:c r="S94" s="8" t="n">
        <x:f>IF(AND(15&gt;='合同排期'!J15,15&lt;'合同排期'!J15+12),'合同排期'!L15,0)</x:f>
        <x:v>0</x:v>
      </x:c>
      <x:c r="T94" s="8" t="n">
        <x:f>IF(AND(16&gt;='合同排期'!J15,16&lt;'合同排期'!J15+12),'合同排期'!L15,0)</x:f>
        <x:v>0</x:v>
      </x:c>
      <x:c r="U94" s="8" t="n">
        <x:f>IF(AND(17&gt;='合同排期'!J15,17&lt;'合同排期'!J15+12),'合同排期'!L15,0)</x:f>
        <x:v>0</x:v>
      </x:c>
      <x:c r="V94" s="8" t="n">
        <x:f>IF(AND(18&gt;='合同排期'!J15,18&lt;'合同排期'!J15+12),'合同排期'!L15,0)</x:f>
        <x:v>0</x:v>
      </x:c>
      <x:c r="W94" s="8" t="n">
        <x:f>IF(AND(19&gt;='合同排期'!J15,19&lt;'合同排期'!J15+12),'合同排期'!L15,0)</x:f>
        <x:v>0</x:v>
      </x:c>
      <x:c r="X94" s="8" t="n">
        <x:f>IF(AND(20&gt;='合同排期'!J15,20&lt;'合同排期'!J15+12),'合同排期'!L15,0)</x:f>
        <x:v>0</x:v>
      </x:c>
      <x:c r="Y94" s="8" t="n">
        <x:f>IF(AND(21&gt;='合同排期'!J15,21&lt;'合同排期'!J15+12),'合同排期'!L15,0)</x:f>
        <x:v>0</x:v>
      </x:c>
      <x:c r="Z94" s="8" t="n">
        <x:f>IF(AND(22&gt;='合同排期'!J15,22&lt;'合同排期'!J15+12),'合同排期'!L15,0)</x:f>
        <x:v>0</x:v>
      </x:c>
      <x:c r="AA94" s="8" t="n">
        <x:f>IF(AND(23&gt;='合同排期'!J15,23&lt;'合同排期'!J15+12),'合同排期'!L15,0)</x:f>
        <x:v>0</x:v>
      </x:c>
      <x:c r="AB94" s="8" t="n">
        <x:f>IF(AND(24&gt;='合同排期'!J15,24&lt;'合同排期'!J15+12),'合同排期'!L15,0)</x:f>
        <x:v>0</x:v>
      </x:c>
    </x:row>
    <x:row r="95" ht="23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  <x:c r="AA95" s="1"/>
      <x:c r="AB95" s="1"/>
    </x:row>
    <x:row r="96" ht="23" customHeight="1">
      <x:c r="A96" s="1"/>
      <x:c r="B96" s="1"/>
      <x:c r="C96" s="1" t="str">
        <x:v>P11</x:v>
      </x:c>
      <x:c r="D96" s="1" t="str">
        <x:v>净签约</x:v>
      </x:c>
      <x:c r="E96" s="8" t="n">
        <x:f>IF(1='合同排期'!H16,'合同排期'!K16+'合同排期'!L16,0)</x:f>
        <x:v>0</x:v>
      </x:c>
      <x:c r="F96" s="8" t="n">
        <x:f>IF(2='合同排期'!H16,'合同排期'!K16+'合同排期'!L16,0)</x:f>
        <x:v>0</x:v>
      </x:c>
      <x:c r="G96" s="8" t="n">
        <x:f>IF(3='合同排期'!H16,'合同排期'!K16+'合同排期'!L16,0)</x:f>
        <x:v>0</x:v>
      </x:c>
      <x:c r="H96" s="8" t="n">
        <x:f>IF(4='合同排期'!H16,'合同排期'!K16+'合同排期'!L16,0)</x:f>
        <x:v>0</x:v>
      </x:c>
      <x:c r="I96" s="8" t="n">
        <x:f>IF(5='合同排期'!H16,'合同排期'!K16+'合同排期'!L16,0)</x:f>
        <x:v>0</x:v>
      </x:c>
      <x:c r="J96" s="8" t="n">
        <x:f>IF(6='合同排期'!H16,'合同排期'!K16+'合同排期'!L16,0)</x:f>
        <x:v>0</x:v>
      </x:c>
      <x:c r="K96" s="8" t="n">
        <x:f>IF(7='合同排期'!H16,'合同排期'!K16+'合同排期'!L16,0)</x:f>
        <x:v>0</x:v>
      </x:c>
      <x:c r="L96" s="8" t="n">
        <x:f>IF(8='合同排期'!H16,'合同排期'!K16+'合同排期'!L16,0)</x:f>
        <x:v>0</x:v>
      </x:c>
      <x:c r="M96" s="8" t="n">
        <x:f>IF(9='合同排期'!H16,'合同排期'!K16+'合同排期'!L16,0)</x:f>
        <x:v>0</x:v>
      </x:c>
      <x:c r="N96" s="8" t="n">
        <x:f>IF(10='合同排期'!H16,'合同排期'!K16+'合同排期'!L16,0)</x:f>
        <x:v>0</x:v>
      </x:c>
      <x:c r="O96" s="8" t="n">
        <x:f>IF(11='合同排期'!H16,'合同排期'!K16+'合同排期'!L16,0)</x:f>
        <x:v>0</x:v>
      </x:c>
      <x:c r="P96" s="8" t="n">
        <x:f>IF(12='合同排期'!H16,'合同排期'!K16+'合同排期'!L16,0)</x:f>
        <x:v>0</x:v>
      </x:c>
      <x:c r="Q96" s="8" t="n">
        <x:f>IF(13='合同排期'!H16,'合同排期'!K16+'合同排期'!L16,0)</x:f>
        <x:v>0</x:v>
      </x:c>
      <x:c r="R96" s="8" t="n">
        <x:f>IF(14='合同排期'!H16,'合同排期'!K16+'合同排期'!L16,0)</x:f>
        <x:v>0</x:v>
      </x:c>
      <x:c r="S96" s="8" t="n">
        <x:f>IF(15='合同排期'!H16,'合同排期'!K16+'合同排期'!L16,0)</x:f>
        <x:v>0</x:v>
      </x:c>
      <x:c r="T96" s="8" t="n">
        <x:f>IF(16='合同排期'!H16,'合同排期'!K16+'合同排期'!L16,0)</x:f>
        <x:v>0</x:v>
      </x:c>
      <x:c r="U96" s="8" t="n">
        <x:f>IF(17='合同排期'!H16,'合同排期'!K16+'合同排期'!L16,0)</x:f>
        <x:v>0</x:v>
      </x:c>
      <x:c r="V96" s="8" t="n">
        <x:f>IF(18='合同排期'!H16,'合同排期'!K16+'合同排期'!L16,0)</x:f>
        <x:v>0</x:v>
      </x:c>
      <x:c r="W96" s="8" t="n">
        <x:f>IF(19='合同排期'!H16,'合同排期'!K16+'合同排期'!L16,0)</x:f>
        <x:v>0</x:v>
      </x:c>
      <x:c r="X96" s="8" t="n">
        <x:f>IF(20='合同排期'!H16,'合同排期'!K16+'合同排期'!L16,0)</x:f>
        <x:v>0</x:v>
      </x:c>
      <x:c r="Y96" s="8" t="n">
        <x:f>IF(21='合同排期'!H16,'合同排期'!K16+'合同排期'!L16,0)</x:f>
        <x:v>0</x:v>
      </x:c>
      <x:c r="Z96" s="8" t="n">
        <x:f>IF(22='合同排期'!H16,'合同排期'!K16+'合同排期'!L16,0)</x:f>
        <x:v>0</x:v>
      </x:c>
      <x:c r="AA96" s="8" t="n">
        <x:f>IF(23='合同排期'!H16,'合同排期'!K16+'合同排期'!L16,0)</x:f>
        <x:v>0</x:v>
      </x:c>
      <x:c r="AB96" s="8" t="n">
        <x:f>IF(24='合同排期'!H16,'合同排期'!K16+'合同排期'!L16,0)</x:f>
        <x:v>0</x:v>
      </x:c>
    </x:row>
    <x:row r="97" ht="23" customHeight="1">
      <x:c r="A97" s="1"/>
      <x:c r="B97" s="1"/>
      <x:c r="C97" s="1" t="str">
        <x:v>P11</x:v>
      </x:c>
      <x:c r="D97" s="1" t="str">
        <x:v>确认收入</x:v>
      </x:c>
      <x:c r="E97" s="8" t="n">
        <x:f>IF(1='合同排期'!I16,'合同排期'!K16,0)+IF(AND(1&gt;='合同排期'!J16,1&lt;'合同排期'!J16+12),'合同排期'!L16/12,0)</x:f>
        <x:v>0</x:v>
      </x:c>
      <x:c r="F97" s="8" t="n">
        <x:f>IF(2='合同排期'!I16,'合同排期'!K16,0)+IF(AND(2&gt;='合同排期'!J16,2&lt;'合同排期'!J16+12),'合同排期'!L16/12,0)</x:f>
        <x:v>0</x:v>
      </x:c>
      <x:c r="G97" s="8" t="n">
        <x:f>IF(3='合同排期'!I16,'合同排期'!K16,0)+IF(AND(3&gt;='合同排期'!J16,3&lt;'合同排期'!J16+12),'合同排期'!L16/12,0)</x:f>
        <x:v>0</x:v>
      </x:c>
      <x:c r="H97" s="8" t="n">
        <x:f>IF(4='合同排期'!I16,'合同排期'!K16,0)+IF(AND(4&gt;='合同排期'!J16,4&lt;'合同排期'!J16+12),'合同排期'!L16/12,0)</x:f>
        <x:v>0</x:v>
      </x:c>
      <x:c r="I97" s="8" t="n">
        <x:f>IF(5='合同排期'!I16,'合同排期'!K16,0)+IF(AND(5&gt;='合同排期'!J16,5&lt;'合同排期'!J16+12),'合同排期'!L16/12,0)</x:f>
        <x:v>0</x:v>
      </x:c>
      <x:c r="J97" s="8" t="n">
        <x:f>IF(6='合同排期'!I16,'合同排期'!K16,0)+IF(AND(6&gt;='合同排期'!J16,6&lt;'合同排期'!J16+12),'合同排期'!L16/12,0)</x:f>
        <x:v>0</x:v>
      </x:c>
      <x:c r="K97" s="8" t="n">
        <x:f>IF(7='合同排期'!I16,'合同排期'!K16,0)+IF(AND(7&gt;='合同排期'!J16,7&lt;'合同排期'!J16+12),'合同排期'!L16/12,0)</x:f>
        <x:v>0</x:v>
      </x:c>
      <x:c r="L97" s="8" t="n">
        <x:f>IF(8='合同排期'!I16,'合同排期'!K16,0)+IF(AND(8&gt;='合同排期'!J16,8&lt;'合同排期'!J16+12),'合同排期'!L16/12,0)</x:f>
        <x:v>0</x:v>
      </x:c>
      <x:c r="M97" s="8" t="n">
        <x:f>IF(9='合同排期'!I16,'合同排期'!K16,0)+IF(AND(9&gt;='合同排期'!J16,9&lt;'合同排期'!J16+12),'合同排期'!L16/12,0)</x:f>
        <x:v>0</x:v>
      </x:c>
      <x:c r="N97" s="8" t="n">
        <x:f>IF(10='合同排期'!I16,'合同排期'!K16,0)+IF(AND(10&gt;='合同排期'!J16,10&lt;'合同排期'!J16+12),'合同排期'!L16/12,0)</x:f>
        <x:v>0</x:v>
      </x:c>
      <x:c r="O97" s="8" t="n">
        <x:f>IF(11='合同排期'!I16,'合同排期'!K16,0)+IF(AND(11&gt;='合同排期'!J16,11&lt;'合同排期'!J16+12),'合同排期'!L16/12,0)</x:f>
        <x:v>0</x:v>
      </x:c>
      <x:c r="P97" s="8" t="n">
        <x:f>IF(12='合同排期'!I16,'合同排期'!K16,0)+IF(AND(12&gt;='合同排期'!J16,12&lt;'合同排期'!J16+12),'合同排期'!L16/12,0)</x:f>
        <x:v>0</x:v>
      </x:c>
      <x:c r="Q97" s="8" t="n">
        <x:f>IF(13='合同排期'!I16,'合同排期'!K16,0)+IF(AND(13&gt;='合同排期'!J16,13&lt;'合同排期'!J16+12),'合同排期'!L16/12,0)</x:f>
        <x:v>0</x:v>
      </x:c>
      <x:c r="R97" s="8" t="n">
        <x:f>IF(14='合同排期'!I16,'合同排期'!K16,0)+IF(AND(14&gt;='合同排期'!J16,14&lt;'合同排期'!J16+12),'合同排期'!L16/12,0)</x:f>
        <x:v>0</x:v>
      </x:c>
      <x:c r="S97" s="8" t="n">
        <x:f>IF(15='合同排期'!I16,'合同排期'!K16,0)+IF(AND(15&gt;='合同排期'!J16,15&lt;'合同排期'!J16+12),'合同排期'!L16/12,0)</x:f>
        <x:v>0</x:v>
      </x:c>
      <x:c r="T97" s="8" t="n">
        <x:f>IF(16='合同排期'!I16,'合同排期'!K16,0)+IF(AND(16&gt;='合同排期'!J16,16&lt;'合同排期'!J16+12),'合同排期'!L16/12,0)</x:f>
        <x:v>0</x:v>
      </x:c>
      <x:c r="U97" s="8" t="n">
        <x:f>IF(17='合同排期'!I16,'合同排期'!K16,0)+IF(AND(17&gt;='合同排期'!J16,17&lt;'合同排期'!J16+12),'合同排期'!L16/12,0)</x:f>
        <x:v>0</x:v>
      </x:c>
      <x:c r="V97" s="8" t="n">
        <x:f>IF(18='合同排期'!I16,'合同排期'!K16,0)+IF(AND(18&gt;='合同排期'!J16,18&lt;'合同排期'!J16+12),'合同排期'!L16/12,0)</x:f>
        <x:v>0</x:v>
      </x:c>
      <x:c r="W97" s="8" t="n">
        <x:f>IF(19='合同排期'!I16,'合同排期'!K16,0)+IF(AND(19&gt;='合同排期'!J16,19&lt;'合同排期'!J16+12),'合同排期'!L16/12,0)</x:f>
        <x:v>0</x:v>
      </x:c>
      <x:c r="X97" s="8" t="n">
        <x:f>IF(20='合同排期'!I16,'合同排期'!K16,0)+IF(AND(20&gt;='合同排期'!J16,20&lt;'合同排期'!J16+12),'合同排期'!L16/12,0)</x:f>
        <x:v>0</x:v>
      </x:c>
      <x:c r="Y97" s="8" t="n">
        <x:f>IF(21='合同排期'!I16,'合同排期'!K16,0)+IF(AND(21&gt;='合同排期'!J16,21&lt;'合同排期'!J16+12),'合同排期'!L16/12,0)</x:f>
        <x:v>0</x:v>
      </x:c>
      <x:c r="Z97" s="8" t="n">
        <x:f>IF(22='合同排期'!I16,'合同排期'!K16,0)+IF(AND(22&gt;='合同排期'!J16,22&lt;'合同排期'!J16+12),'合同排期'!L16/12,0)</x:f>
        <x:v>0</x:v>
      </x:c>
      <x:c r="AA97" s="8" t="n">
        <x:f>IF(23='合同排期'!I16,'合同排期'!K16,0)+IF(AND(23&gt;='合同排期'!J16,23&lt;'合同排期'!J16+12),'合同排期'!L16/12,0)</x:f>
        <x:v>0</x:v>
      </x:c>
      <x:c r="AB97" s="8" t="n">
        <x:f>IF(24='合同排期'!I16,'合同排期'!K16,0)+IF(AND(24&gt;='合同排期'!J16,24&lt;'合同排期'!J16+12),'合同排期'!L16/12,0)</x:f>
        <x:v>0</x:v>
      </x:c>
    </x:row>
    <x:row r="98" ht="23" customHeight="1">
      <x:c r="A98" s="1"/>
      <x:c r="B98" s="1"/>
      <x:c r="C98" s="1" t="str">
        <x:v>P11</x:v>
      </x:c>
      <x:c r="D98" s="1" t="str">
        <x:v>开票</x:v>
      </x:c>
      <x:c r="E98" s="8" t="n">
        <x:f>IF(1='合同排期'!H16,'合同排期'!K16*'合同排期'!P16,0)+IF(1='合同排期'!S16,'合同排期'!K16*'合同排期'!Q16,0)+IF(1='合同排期'!I16,'合同排期'!K16*'合同排期'!R16,0)+IF(1='合同排期'!J16,'合同排期'!L16,0)</x:f>
        <x:v>0</x:v>
      </x:c>
      <x:c r="F98" s="8" t="n">
        <x:f>IF(2='合同排期'!H16,'合同排期'!K16*'合同排期'!P16,0)+IF(2='合同排期'!S16,'合同排期'!K16*'合同排期'!Q16,0)+IF(2='合同排期'!I16,'合同排期'!K16*'合同排期'!R16,0)+IF(2='合同排期'!J16,'合同排期'!L16,0)</x:f>
        <x:v>0</x:v>
      </x:c>
      <x:c r="G98" s="8" t="n">
        <x:f>IF(3='合同排期'!H16,'合同排期'!K16*'合同排期'!P16,0)+IF(3='合同排期'!S16,'合同排期'!K16*'合同排期'!Q16,0)+IF(3='合同排期'!I16,'合同排期'!K16*'合同排期'!R16,0)+IF(3='合同排期'!J16,'合同排期'!L16,0)</x:f>
        <x:v>0</x:v>
      </x:c>
      <x:c r="H98" s="8" t="n">
        <x:f>IF(4='合同排期'!H16,'合同排期'!K16*'合同排期'!P16,0)+IF(4='合同排期'!S16,'合同排期'!K16*'合同排期'!Q16,0)+IF(4='合同排期'!I16,'合同排期'!K16*'合同排期'!R16,0)+IF(4='合同排期'!J16,'合同排期'!L16,0)</x:f>
        <x:v>0</x:v>
      </x:c>
      <x:c r="I98" s="8" t="n">
        <x:f>IF(5='合同排期'!H16,'合同排期'!K16*'合同排期'!P16,0)+IF(5='合同排期'!S16,'合同排期'!K16*'合同排期'!Q16,0)+IF(5='合同排期'!I16,'合同排期'!K16*'合同排期'!R16,0)+IF(5='合同排期'!J16,'合同排期'!L16,0)</x:f>
        <x:v>0</x:v>
      </x:c>
      <x:c r="J98" s="8" t="n">
        <x:f>IF(6='合同排期'!H16,'合同排期'!K16*'合同排期'!P16,0)+IF(6='合同排期'!S16,'合同排期'!K16*'合同排期'!Q16,0)+IF(6='合同排期'!I16,'合同排期'!K16*'合同排期'!R16,0)+IF(6='合同排期'!J16,'合同排期'!L16,0)</x:f>
        <x:v>0</x:v>
      </x:c>
      <x:c r="K98" s="8" t="n">
        <x:f>IF(7='合同排期'!H16,'合同排期'!K16*'合同排期'!P16,0)+IF(7='合同排期'!S16,'合同排期'!K16*'合同排期'!Q16,0)+IF(7='合同排期'!I16,'合同排期'!K16*'合同排期'!R16,0)+IF(7='合同排期'!J16,'合同排期'!L16,0)</x:f>
        <x:v>0</x:v>
      </x:c>
      <x:c r="L98" s="8" t="n">
        <x:f>IF(8='合同排期'!H16,'合同排期'!K16*'合同排期'!P16,0)+IF(8='合同排期'!S16,'合同排期'!K16*'合同排期'!Q16,0)+IF(8='合同排期'!I16,'合同排期'!K16*'合同排期'!R16,0)+IF(8='合同排期'!J16,'合同排期'!L16,0)</x:f>
        <x:v>0</x:v>
      </x:c>
      <x:c r="M98" s="8" t="n">
        <x:f>IF(9='合同排期'!H16,'合同排期'!K16*'合同排期'!P16,0)+IF(9='合同排期'!S16,'合同排期'!K16*'合同排期'!Q16,0)+IF(9='合同排期'!I16,'合同排期'!K16*'合同排期'!R16,0)+IF(9='合同排期'!J16,'合同排期'!L16,0)</x:f>
        <x:v>0</x:v>
      </x:c>
      <x:c r="N98" s="8" t="n">
        <x:f>IF(10='合同排期'!H16,'合同排期'!K16*'合同排期'!P16,0)+IF(10='合同排期'!S16,'合同排期'!K16*'合同排期'!Q16,0)+IF(10='合同排期'!I16,'合同排期'!K16*'合同排期'!R16,0)+IF(10='合同排期'!J16,'合同排期'!L16,0)</x:f>
        <x:v>0</x:v>
      </x:c>
      <x:c r="O98" s="8" t="n">
        <x:f>IF(11='合同排期'!H16,'合同排期'!K16*'合同排期'!P16,0)+IF(11='合同排期'!S16,'合同排期'!K16*'合同排期'!Q16,0)+IF(11='合同排期'!I16,'合同排期'!K16*'合同排期'!R16,0)+IF(11='合同排期'!J16,'合同排期'!L16,0)</x:f>
        <x:v>0</x:v>
      </x:c>
      <x:c r="P98" s="8" t="n">
        <x:f>IF(12='合同排期'!H16,'合同排期'!K16*'合同排期'!P16,0)+IF(12='合同排期'!S16,'合同排期'!K16*'合同排期'!Q16,0)+IF(12='合同排期'!I16,'合同排期'!K16*'合同排期'!R16,0)+IF(12='合同排期'!J16,'合同排期'!L16,0)</x:f>
        <x:v>0</x:v>
      </x:c>
      <x:c r="Q98" s="8" t="n">
        <x:f>IF(13='合同排期'!H16,'合同排期'!K16*'合同排期'!P16,0)+IF(13='合同排期'!S16,'合同排期'!K16*'合同排期'!Q16,0)+IF(13='合同排期'!I16,'合同排期'!K16*'合同排期'!R16,0)+IF(13='合同排期'!J16,'合同排期'!L16,0)</x:f>
        <x:v>0</x:v>
      </x:c>
      <x:c r="R98" s="8" t="n">
        <x:f>IF(14='合同排期'!H16,'合同排期'!K16*'合同排期'!P16,0)+IF(14='合同排期'!S16,'合同排期'!K16*'合同排期'!Q16,0)+IF(14='合同排期'!I16,'合同排期'!K16*'合同排期'!R16,0)+IF(14='合同排期'!J16,'合同排期'!L16,0)</x:f>
        <x:v>0</x:v>
      </x:c>
      <x:c r="S98" s="8" t="n">
        <x:f>IF(15='合同排期'!H16,'合同排期'!K16*'合同排期'!P16,0)+IF(15='合同排期'!S16,'合同排期'!K16*'合同排期'!Q16,0)+IF(15='合同排期'!I16,'合同排期'!K16*'合同排期'!R16,0)+IF(15='合同排期'!J16,'合同排期'!L16,0)</x:f>
        <x:v>0</x:v>
      </x:c>
      <x:c r="T98" s="8" t="n">
        <x:f>IF(16='合同排期'!H16,'合同排期'!K16*'合同排期'!P16,0)+IF(16='合同排期'!S16,'合同排期'!K16*'合同排期'!Q16,0)+IF(16='合同排期'!I16,'合同排期'!K16*'合同排期'!R16,0)+IF(16='合同排期'!J16,'合同排期'!L16,0)</x:f>
        <x:v>0</x:v>
      </x:c>
      <x:c r="U98" s="8" t="n">
        <x:f>IF(17='合同排期'!H16,'合同排期'!K16*'合同排期'!P16,0)+IF(17='合同排期'!S16,'合同排期'!K16*'合同排期'!Q16,0)+IF(17='合同排期'!I16,'合同排期'!K16*'合同排期'!R16,0)+IF(17='合同排期'!J16,'合同排期'!L16,0)</x:f>
        <x:v>0</x:v>
      </x:c>
      <x:c r="V98" s="8" t="n">
        <x:f>IF(18='合同排期'!H16,'合同排期'!K16*'合同排期'!P16,0)+IF(18='合同排期'!S16,'合同排期'!K16*'合同排期'!Q16,0)+IF(18='合同排期'!I16,'合同排期'!K16*'合同排期'!R16,0)+IF(18='合同排期'!J16,'合同排期'!L16,0)</x:f>
        <x:v>0</x:v>
      </x:c>
      <x:c r="W98" s="8" t="n">
        <x:f>IF(19='合同排期'!H16,'合同排期'!K16*'合同排期'!P16,0)+IF(19='合同排期'!S16,'合同排期'!K16*'合同排期'!Q16,0)+IF(19='合同排期'!I16,'合同排期'!K16*'合同排期'!R16,0)+IF(19='合同排期'!J16,'合同排期'!L16,0)</x:f>
        <x:v>0</x:v>
      </x:c>
      <x:c r="X98" s="8" t="n">
        <x:f>IF(20='合同排期'!H16,'合同排期'!K16*'合同排期'!P16,0)+IF(20='合同排期'!S16,'合同排期'!K16*'合同排期'!Q16,0)+IF(20='合同排期'!I16,'合同排期'!K16*'合同排期'!R16,0)+IF(20='合同排期'!J16,'合同排期'!L16,0)</x:f>
        <x:v>0</x:v>
      </x:c>
      <x:c r="Y98" s="8" t="n">
        <x:f>IF(21='合同排期'!H16,'合同排期'!K16*'合同排期'!P16,0)+IF(21='合同排期'!S16,'合同排期'!K16*'合同排期'!Q16,0)+IF(21='合同排期'!I16,'合同排期'!K16*'合同排期'!R16,0)+IF(21='合同排期'!J16,'合同排期'!L16,0)</x:f>
        <x:v>0</x:v>
      </x:c>
      <x:c r="Z98" s="8" t="n">
        <x:f>IF(22='合同排期'!H16,'合同排期'!K16*'合同排期'!P16,0)+IF(22='合同排期'!S16,'合同排期'!K16*'合同排期'!Q16,0)+IF(22='合同排期'!I16,'合同排期'!K16*'合同排期'!R16,0)+IF(22='合同排期'!J16,'合同排期'!L16,0)</x:f>
        <x:v>0</x:v>
      </x:c>
      <x:c r="AA98" s="8" t="n">
        <x:f>IF(23='合同排期'!H16,'合同排期'!K16*'合同排期'!P16,0)+IF(23='合同排期'!S16,'合同排期'!K16*'合同排期'!Q16,0)+IF(23='合同排期'!I16,'合同排期'!K16*'合同排期'!R16,0)+IF(23='合同排期'!J16,'合同排期'!L16,0)</x:f>
        <x:v>0</x:v>
      </x:c>
      <x:c r="AB98" s="8" t="n">
        <x:f>IF(24='合同排期'!H16,'合同排期'!K16*'合同排期'!P16,0)+IF(24='合同排期'!S16,'合同排期'!K16*'合同排期'!Q16,0)+IF(24='合同排期'!I16,'合同排期'!K16*'合同排期'!R16,0)+IF(24='合同排期'!J16,'合同排期'!L16,0)</x:f>
        <x:v>0</x:v>
      </x:c>
    </x:row>
    <x:row r="99" ht="23" customHeight="1">
      <x:c r="A99" s="1"/>
      <x:c r="B99" s="1"/>
      <x:c r="C99" s="1" t="str">
        <x:v>P11</x:v>
      </x:c>
      <x:c r="D99" s="1" t="str">
        <x:v>回款</x:v>
      </x:c>
      <x:c r="E99" s="8" t="n">
        <x:f>IF(1&gt;'假设'!D27,INDEX($E98:$AB98,1,1-'假设'!D27),0)</x:f>
        <x:v>0</x:v>
      </x:c>
      <x:c r="F99" s="8" t="n">
        <x:f>IF(2&gt;'假设'!D27,INDEX($E98:$AB98,1,2-'假设'!D27),0)</x:f>
        <x:v>0</x:v>
      </x:c>
      <x:c r="G99" s="8" t="n">
        <x:f>IF(3&gt;'假设'!D27,INDEX($E98:$AB98,1,3-'假设'!D27),0)</x:f>
        <x:v>0</x:v>
      </x:c>
      <x:c r="H99" s="8" t="n">
        <x:f>IF(4&gt;'假设'!D27,INDEX($E98:$AB98,1,4-'假设'!D27),0)</x:f>
        <x:v>0</x:v>
      </x:c>
      <x:c r="I99" s="8" t="n">
        <x:f>IF(5&gt;'假设'!D27,INDEX($E98:$AB98,1,5-'假设'!D27),0)</x:f>
        <x:v>0</x:v>
      </x:c>
      <x:c r="J99" s="8" t="n">
        <x:f>IF(6&gt;'假设'!D27,INDEX($E98:$AB98,1,6-'假设'!D27),0)</x:f>
        <x:v>0</x:v>
      </x:c>
      <x:c r="K99" s="8" t="n">
        <x:f>IF(7&gt;'假设'!D27,INDEX($E98:$AB98,1,7-'假设'!D27),0)</x:f>
        <x:v>0</x:v>
      </x:c>
      <x:c r="L99" s="8" t="n">
        <x:f>IF(8&gt;'假设'!D27,INDEX($E98:$AB98,1,8-'假设'!D27),0)</x:f>
        <x:v>0</x:v>
      </x:c>
      <x:c r="M99" s="8" t="n">
        <x:f>IF(9&gt;'假设'!D27,INDEX($E98:$AB98,1,9-'假设'!D27),0)</x:f>
        <x:v>0</x:v>
      </x:c>
      <x:c r="N99" s="8" t="n">
        <x:f>IF(10&gt;'假设'!D27,INDEX($E98:$AB98,1,10-'假设'!D27),0)</x:f>
        <x:v>0</x:v>
      </x:c>
      <x:c r="O99" s="8" t="n">
        <x:f>IF(11&gt;'假设'!D27,INDEX($E98:$AB98,1,11-'假设'!D27),0)</x:f>
        <x:v>0</x:v>
      </x:c>
      <x:c r="P99" s="8" t="n">
        <x:f>IF(12&gt;'假设'!D27,INDEX($E98:$AB98,1,12-'假设'!D27),0)</x:f>
        <x:v>0</x:v>
      </x:c>
      <x:c r="Q99" s="8" t="n">
        <x:f>IF(13&gt;'假设'!D27,INDEX($E98:$AB98,1,13-'假设'!D27),0)</x:f>
        <x:v>0</x:v>
      </x:c>
      <x:c r="R99" s="8" t="n">
        <x:f>IF(14&gt;'假设'!D27,INDEX($E98:$AB98,1,14-'假设'!D27),0)</x:f>
        <x:v>0</x:v>
      </x:c>
      <x:c r="S99" s="8" t="n">
        <x:f>IF(15&gt;'假设'!D27,INDEX($E98:$AB98,1,15-'假设'!D27),0)</x:f>
        <x:v>0</x:v>
      </x:c>
      <x:c r="T99" s="8" t="n">
        <x:f>IF(16&gt;'假设'!D27,INDEX($E98:$AB98,1,16-'假设'!D27),0)</x:f>
        <x:v>0</x:v>
      </x:c>
      <x:c r="U99" s="8" t="n">
        <x:f>IF(17&gt;'假设'!D27,INDEX($E98:$AB98,1,17-'假设'!D27),0)</x:f>
        <x:v>0</x:v>
      </x:c>
      <x:c r="V99" s="8" t="n">
        <x:f>IF(18&gt;'假设'!D27,INDEX($E98:$AB98,1,18-'假设'!D27),0)</x:f>
        <x:v>0</x:v>
      </x:c>
      <x:c r="W99" s="8" t="n">
        <x:f>IF(19&gt;'假设'!D27,INDEX($E98:$AB98,1,19-'假设'!D27),0)</x:f>
        <x:v>0</x:v>
      </x:c>
      <x:c r="X99" s="8" t="n">
        <x:f>IF(20&gt;'假设'!D27,INDEX($E98:$AB98,1,20-'假设'!D27),0)</x:f>
        <x:v>0</x:v>
      </x:c>
      <x:c r="Y99" s="8" t="n">
        <x:f>IF(21&gt;'假设'!D27,INDEX($E98:$AB98,1,21-'假设'!D27),0)</x:f>
        <x:v>0</x:v>
      </x:c>
      <x:c r="Z99" s="8" t="n">
        <x:f>IF(22&gt;'假设'!D27,INDEX($E98:$AB98,1,22-'假设'!D27),0)</x:f>
        <x:v>0</x:v>
      </x:c>
      <x:c r="AA99" s="8" t="n">
        <x:f>IF(23&gt;'假设'!D27,INDEX($E98:$AB98,1,23-'假设'!D27),0)</x:f>
        <x:v>0</x:v>
      </x:c>
      <x:c r="AB99" s="8" t="n">
        <x:f>IF(24&gt;'假设'!D27,INDEX($E98:$AB98,1,24-'假设'!D27),0)</x:f>
        <x:v>0</x:v>
      </x:c>
    </x:row>
    <x:row r="100" ht="23" customHeight="1">
      <x:c r="A100" s="1"/>
      <x:c r="B100" s="1"/>
      <x:c r="C100" s="1" t="str">
        <x:v>P11</x:v>
      </x:c>
      <x:c r="D100" s="1" t="str">
        <x:v>直接损益成本</x:v>
      </x:c>
      <x:c r="E100" s="8" t="n">
        <x:f>IF(1='合同排期'!I16,'合同排期'!N16,0)+IF(AND(1&gt;='合同排期'!J16,1&lt;'合同排期'!J16+12),'合同排期'!O16,0)+E96*'假设'!D47</x:f>
        <x:v>0</x:v>
      </x:c>
      <x:c r="F100" s="8" t="n">
        <x:f>IF(2='合同排期'!I16,'合同排期'!N16,0)+IF(AND(2&gt;='合同排期'!J16,2&lt;'合同排期'!J16+12),'合同排期'!O16,0)+F96*'假设'!D47</x:f>
        <x:v>0</x:v>
      </x:c>
      <x:c r="G100" s="8" t="n">
        <x:f>IF(3='合同排期'!I16,'合同排期'!N16,0)+IF(AND(3&gt;='合同排期'!J16,3&lt;'合同排期'!J16+12),'合同排期'!O16,0)+G96*'假设'!D47</x:f>
        <x:v>0</x:v>
      </x:c>
      <x:c r="H100" s="8" t="n">
        <x:f>IF(4='合同排期'!I16,'合同排期'!N16,0)+IF(AND(4&gt;='合同排期'!J16,4&lt;'合同排期'!J16+12),'合同排期'!O16,0)+H96*'假设'!D47</x:f>
        <x:v>0</x:v>
      </x:c>
      <x:c r="I100" s="8" t="n">
        <x:f>IF(5='合同排期'!I16,'合同排期'!N16,0)+IF(AND(5&gt;='合同排期'!J16,5&lt;'合同排期'!J16+12),'合同排期'!O16,0)+I96*'假设'!D47</x:f>
        <x:v>0</x:v>
      </x:c>
      <x:c r="J100" s="8" t="n">
        <x:f>IF(6='合同排期'!I16,'合同排期'!N16,0)+IF(AND(6&gt;='合同排期'!J16,6&lt;'合同排期'!J16+12),'合同排期'!O16,0)+J96*'假设'!D47</x:f>
        <x:v>0</x:v>
      </x:c>
      <x:c r="K100" s="8" t="n">
        <x:f>IF(7='合同排期'!I16,'合同排期'!N16,0)+IF(AND(7&gt;='合同排期'!J16,7&lt;'合同排期'!J16+12),'合同排期'!O16,0)+K96*'假设'!D47</x:f>
        <x:v>0</x:v>
      </x:c>
      <x:c r="L100" s="8" t="n">
        <x:f>IF(8='合同排期'!I16,'合同排期'!N16,0)+IF(AND(8&gt;='合同排期'!J16,8&lt;'合同排期'!J16+12),'合同排期'!O16,0)+L96*'假设'!D47</x:f>
        <x:v>0</x:v>
      </x:c>
      <x:c r="M100" s="8" t="n">
        <x:f>IF(9='合同排期'!I16,'合同排期'!N16,0)+IF(AND(9&gt;='合同排期'!J16,9&lt;'合同排期'!J16+12),'合同排期'!O16,0)+M96*'假设'!D47</x:f>
        <x:v>0</x:v>
      </x:c>
      <x:c r="N100" s="8" t="n">
        <x:f>IF(10='合同排期'!I16,'合同排期'!N16,0)+IF(AND(10&gt;='合同排期'!J16,10&lt;'合同排期'!J16+12),'合同排期'!O16,0)+N96*'假设'!D47</x:f>
        <x:v>0</x:v>
      </x:c>
      <x:c r="O100" s="8" t="n">
        <x:f>IF(11='合同排期'!I16,'合同排期'!N16,0)+IF(AND(11&gt;='合同排期'!J16,11&lt;'合同排期'!J16+12),'合同排期'!O16,0)+O96*'假设'!D47</x:f>
        <x:v>0</x:v>
      </x:c>
      <x:c r="P100" s="8" t="n">
        <x:f>IF(12='合同排期'!I16,'合同排期'!N16,0)+IF(AND(12&gt;='合同排期'!J16,12&lt;'合同排期'!J16+12),'合同排期'!O16,0)+P96*'假设'!D47</x:f>
        <x:v>0</x:v>
      </x:c>
      <x:c r="Q100" s="8" t="n">
        <x:f>IF(13='合同排期'!I16,'合同排期'!N16,0)+IF(AND(13&gt;='合同排期'!J16,13&lt;'合同排期'!J16+12),'合同排期'!O16,0)+Q96*'假设'!D47</x:f>
        <x:v>0</x:v>
      </x:c>
      <x:c r="R100" s="8" t="n">
        <x:f>IF(14='合同排期'!I16,'合同排期'!N16,0)+IF(AND(14&gt;='合同排期'!J16,14&lt;'合同排期'!J16+12),'合同排期'!O16,0)+R96*'假设'!D47</x:f>
        <x:v>0</x:v>
      </x:c>
      <x:c r="S100" s="8" t="n">
        <x:f>IF(15='合同排期'!I16,'合同排期'!N16,0)+IF(AND(15&gt;='合同排期'!J16,15&lt;'合同排期'!J16+12),'合同排期'!O16,0)+S96*'假设'!D47</x:f>
        <x:v>0</x:v>
      </x:c>
      <x:c r="T100" s="8" t="n">
        <x:f>IF(16='合同排期'!I16,'合同排期'!N16,0)+IF(AND(16&gt;='合同排期'!J16,16&lt;'合同排期'!J16+12),'合同排期'!O16,0)+T96*'假设'!D47</x:f>
        <x:v>0</x:v>
      </x:c>
      <x:c r="U100" s="8" t="n">
        <x:f>IF(17='合同排期'!I16,'合同排期'!N16,0)+IF(AND(17&gt;='合同排期'!J16,17&lt;'合同排期'!J16+12),'合同排期'!O16,0)+U96*'假设'!D47</x:f>
        <x:v>0</x:v>
      </x:c>
      <x:c r="V100" s="8" t="n">
        <x:f>IF(18='合同排期'!I16,'合同排期'!N16,0)+IF(AND(18&gt;='合同排期'!J16,18&lt;'合同排期'!J16+12),'合同排期'!O16,0)+V96*'假设'!D47</x:f>
        <x:v>0</x:v>
      </x:c>
      <x:c r="W100" s="8" t="n">
        <x:f>IF(19='合同排期'!I16,'合同排期'!N16,0)+IF(AND(19&gt;='合同排期'!J16,19&lt;'合同排期'!J16+12),'合同排期'!O16,0)+W96*'假设'!D47</x:f>
        <x:v>0</x:v>
      </x:c>
      <x:c r="X100" s="8" t="n">
        <x:f>IF(20='合同排期'!I16,'合同排期'!N16,0)+IF(AND(20&gt;='合同排期'!J16,20&lt;'合同排期'!J16+12),'合同排期'!O16,0)+X96*'假设'!D47</x:f>
        <x:v>0</x:v>
      </x:c>
      <x:c r="Y100" s="8" t="n">
        <x:f>IF(21='合同排期'!I16,'合同排期'!N16,0)+IF(AND(21&gt;='合同排期'!J16,21&lt;'合同排期'!J16+12),'合同排期'!O16,0)+Y96*'假设'!D47</x:f>
        <x:v>0</x:v>
      </x:c>
      <x:c r="Z100" s="8" t="n">
        <x:f>IF(22='合同排期'!I16,'合同排期'!N16,0)+IF(AND(22&gt;='合同排期'!J16,22&lt;'合同排期'!J16+12),'合同排期'!O16,0)+Z96*'假设'!D47</x:f>
        <x:v>0</x:v>
      </x:c>
      <x:c r="AA100" s="8" t="n">
        <x:f>IF(23='合同排期'!I16,'合同排期'!N16,0)+IF(AND(23&gt;='合同排期'!J16,23&lt;'合同排期'!J16+12),'合同排期'!O16,0)+AA96*'假设'!D47</x:f>
        <x:v>0</x:v>
      </x:c>
      <x:c r="AB100" s="8" t="n">
        <x:f>IF(24='合同排期'!I16,'合同排期'!N16,0)+IF(AND(24&gt;='合同排期'!J16,24&lt;'合同排期'!J16+12),'合同排期'!O16,0)+AB96*'假设'!D47</x:f>
        <x:v>0</x:v>
      </x:c>
    </x:row>
    <x:row r="101" ht="23" customHeight="1">
      <x:c r="A101" s="1"/>
      <x:c r="B101" s="1"/>
      <x:c r="C101" s="1" t="str">
        <x:v>P11</x:v>
      </x:c>
      <x:c r="D101" s="1" t="str">
        <x:v>直接现金成本</x:v>
      </x:c>
      <x:c r="E101" s="8" t="n">
        <x:f>IF(AND(1&gt;='合同排期'!H16,1&lt;='合同排期'!I16),'合同排期'!N16/('合同排期'!I16-'合同排期'!H16+1),0)+IF(AND(1&gt;='合同排期'!J16,1&lt;'合同排期'!J16+12),'合同排期'!O16,0)+E99*'假设'!D47</x:f>
        <x:v>0</x:v>
      </x:c>
      <x:c r="F101" s="8" t="n">
        <x:f>IF(AND(2&gt;='合同排期'!H16,2&lt;='合同排期'!I16),'合同排期'!N16/('合同排期'!I16-'合同排期'!H16+1),0)+IF(AND(2&gt;='合同排期'!J16,2&lt;'合同排期'!J16+12),'合同排期'!O16,0)+F99*'假设'!D47</x:f>
        <x:v>0</x:v>
      </x:c>
      <x:c r="G101" s="8" t="n">
        <x:f>IF(AND(3&gt;='合同排期'!H16,3&lt;='合同排期'!I16),'合同排期'!N16/('合同排期'!I16-'合同排期'!H16+1),0)+IF(AND(3&gt;='合同排期'!J16,3&lt;'合同排期'!J16+12),'合同排期'!O16,0)+G99*'假设'!D47</x:f>
        <x:v>0</x:v>
      </x:c>
      <x:c r="H101" s="8" t="n">
        <x:f>IF(AND(4&gt;='合同排期'!H16,4&lt;='合同排期'!I16),'合同排期'!N16/('合同排期'!I16-'合同排期'!H16+1),0)+IF(AND(4&gt;='合同排期'!J16,4&lt;'合同排期'!J16+12),'合同排期'!O16,0)+H99*'假设'!D47</x:f>
        <x:v>0</x:v>
      </x:c>
      <x:c r="I101" s="8" t="n">
        <x:f>IF(AND(5&gt;='合同排期'!H16,5&lt;='合同排期'!I16),'合同排期'!N16/('合同排期'!I16-'合同排期'!H16+1),0)+IF(AND(5&gt;='合同排期'!J16,5&lt;'合同排期'!J16+12),'合同排期'!O16,0)+I99*'假设'!D47</x:f>
        <x:v>0</x:v>
      </x:c>
      <x:c r="J101" s="8" t="n">
        <x:f>IF(AND(6&gt;='合同排期'!H16,6&lt;='合同排期'!I16),'合同排期'!N16/('合同排期'!I16-'合同排期'!H16+1),0)+IF(AND(6&gt;='合同排期'!J16,6&lt;'合同排期'!J16+12),'合同排期'!O16,0)+J99*'假设'!D47</x:f>
        <x:v>0</x:v>
      </x:c>
      <x:c r="K101" s="8" t="n">
        <x:f>IF(AND(7&gt;='合同排期'!H16,7&lt;='合同排期'!I16),'合同排期'!N16/('合同排期'!I16-'合同排期'!H16+1),0)+IF(AND(7&gt;='合同排期'!J16,7&lt;'合同排期'!J16+12),'合同排期'!O16,0)+K99*'假设'!D47</x:f>
        <x:v>0</x:v>
      </x:c>
      <x:c r="L101" s="8" t="n">
        <x:f>IF(AND(8&gt;='合同排期'!H16,8&lt;='合同排期'!I16),'合同排期'!N16/('合同排期'!I16-'合同排期'!H16+1),0)+IF(AND(8&gt;='合同排期'!J16,8&lt;'合同排期'!J16+12),'合同排期'!O16,0)+L99*'假设'!D47</x:f>
        <x:v>0</x:v>
      </x:c>
      <x:c r="M101" s="8" t="n">
        <x:f>IF(AND(9&gt;='合同排期'!H16,9&lt;='合同排期'!I16),'合同排期'!N16/('合同排期'!I16-'合同排期'!H16+1),0)+IF(AND(9&gt;='合同排期'!J16,9&lt;'合同排期'!J16+12),'合同排期'!O16,0)+M99*'假设'!D47</x:f>
        <x:v>0</x:v>
      </x:c>
      <x:c r="N101" s="8" t="n">
        <x:f>IF(AND(10&gt;='合同排期'!H16,10&lt;='合同排期'!I16),'合同排期'!N16/('合同排期'!I16-'合同排期'!H16+1),0)+IF(AND(10&gt;='合同排期'!J16,10&lt;'合同排期'!J16+12),'合同排期'!O16,0)+N99*'假设'!D47</x:f>
        <x:v>0</x:v>
      </x:c>
      <x:c r="O101" s="8" t="n">
        <x:f>IF(AND(11&gt;='合同排期'!H16,11&lt;='合同排期'!I16),'合同排期'!N16/('合同排期'!I16-'合同排期'!H16+1),0)+IF(AND(11&gt;='合同排期'!J16,11&lt;'合同排期'!J16+12),'合同排期'!O16,0)+O99*'假设'!D47</x:f>
        <x:v>0</x:v>
      </x:c>
      <x:c r="P101" s="8" t="n">
        <x:f>IF(AND(12&gt;='合同排期'!H16,12&lt;='合同排期'!I16),'合同排期'!N16/('合同排期'!I16-'合同排期'!H16+1),0)+IF(AND(12&gt;='合同排期'!J16,12&lt;'合同排期'!J16+12),'合同排期'!O16,0)+P99*'假设'!D47</x:f>
        <x:v>0</x:v>
      </x:c>
      <x:c r="Q101" s="8" t="n">
        <x:f>IF(AND(13&gt;='合同排期'!H16,13&lt;='合同排期'!I16),'合同排期'!N16/('合同排期'!I16-'合同排期'!H16+1),0)+IF(AND(13&gt;='合同排期'!J16,13&lt;'合同排期'!J16+12),'合同排期'!O16,0)+Q99*'假设'!D47</x:f>
        <x:v>0</x:v>
      </x:c>
      <x:c r="R101" s="8" t="n">
        <x:f>IF(AND(14&gt;='合同排期'!H16,14&lt;='合同排期'!I16),'合同排期'!N16/('合同排期'!I16-'合同排期'!H16+1),0)+IF(AND(14&gt;='合同排期'!J16,14&lt;'合同排期'!J16+12),'合同排期'!O16,0)+R99*'假设'!D47</x:f>
        <x:v>0</x:v>
      </x:c>
      <x:c r="S101" s="8" t="n">
        <x:f>IF(AND(15&gt;='合同排期'!H16,15&lt;='合同排期'!I16),'合同排期'!N16/('合同排期'!I16-'合同排期'!H16+1),0)+IF(AND(15&gt;='合同排期'!J16,15&lt;'合同排期'!J16+12),'合同排期'!O16,0)+S99*'假设'!D47</x:f>
        <x:v>0</x:v>
      </x:c>
      <x:c r="T101" s="8" t="n">
        <x:f>IF(AND(16&gt;='合同排期'!H16,16&lt;='合同排期'!I16),'合同排期'!N16/('合同排期'!I16-'合同排期'!H16+1),0)+IF(AND(16&gt;='合同排期'!J16,16&lt;'合同排期'!J16+12),'合同排期'!O16,0)+T99*'假设'!D47</x:f>
        <x:v>0</x:v>
      </x:c>
      <x:c r="U101" s="8" t="n">
        <x:f>IF(AND(17&gt;='合同排期'!H16,17&lt;='合同排期'!I16),'合同排期'!N16/('合同排期'!I16-'合同排期'!H16+1),0)+IF(AND(17&gt;='合同排期'!J16,17&lt;'合同排期'!J16+12),'合同排期'!O16,0)+U99*'假设'!D47</x:f>
        <x:v>0</x:v>
      </x:c>
      <x:c r="V101" s="8" t="n">
        <x:f>IF(AND(18&gt;='合同排期'!H16,18&lt;='合同排期'!I16),'合同排期'!N16/('合同排期'!I16-'合同排期'!H16+1),0)+IF(AND(18&gt;='合同排期'!J16,18&lt;'合同排期'!J16+12),'合同排期'!O16,0)+V99*'假设'!D47</x:f>
        <x:v>0</x:v>
      </x:c>
      <x:c r="W101" s="8" t="n">
        <x:f>IF(AND(19&gt;='合同排期'!H16,19&lt;='合同排期'!I16),'合同排期'!N16/('合同排期'!I16-'合同排期'!H16+1),0)+IF(AND(19&gt;='合同排期'!J16,19&lt;'合同排期'!J16+12),'合同排期'!O16,0)+W99*'假设'!D47</x:f>
        <x:v>0</x:v>
      </x:c>
      <x:c r="X101" s="8" t="n">
        <x:f>IF(AND(20&gt;='合同排期'!H16,20&lt;='合同排期'!I16),'合同排期'!N16/('合同排期'!I16-'合同排期'!H16+1),0)+IF(AND(20&gt;='合同排期'!J16,20&lt;'合同排期'!J16+12),'合同排期'!O16,0)+X99*'假设'!D47</x:f>
        <x:v>0</x:v>
      </x:c>
      <x:c r="Y101" s="8" t="n">
        <x:f>IF(AND(21&gt;='合同排期'!H16,21&lt;='合同排期'!I16),'合同排期'!N16/('合同排期'!I16-'合同排期'!H16+1),0)+IF(AND(21&gt;='合同排期'!J16,21&lt;'合同排期'!J16+12),'合同排期'!O16,0)+Y99*'假设'!D47</x:f>
        <x:v>0</x:v>
      </x:c>
      <x:c r="Z101" s="8" t="n">
        <x:f>IF(AND(22&gt;='合同排期'!H16,22&lt;='合同排期'!I16),'合同排期'!N16/('合同排期'!I16-'合同排期'!H16+1),0)+IF(AND(22&gt;='合同排期'!J16,22&lt;'合同排期'!J16+12),'合同排期'!O16,0)+Z99*'假设'!D47</x:f>
        <x:v>0</x:v>
      </x:c>
      <x:c r="AA101" s="8" t="n">
        <x:f>IF(AND(23&gt;='合同排期'!H16,23&lt;='合同排期'!I16),'合同排期'!N16/('合同排期'!I16-'合同排期'!H16+1),0)+IF(AND(23&gt;='合同排期'!J16,23&lt;'合同排期'!J16+12),'合同排期'!O16,0)+AA99*'假设'!D47</x:f>
        <x:v>0</x:v>
      </x:c>
      <x:c r="AB101" s="8" t="n">
        <x:f>IF(AND(24&gt;='合同排期'!H16,24&lt;='合同排期'!I16),'合同排期'!N16/('合同排期'!I16-'合同排期'!H16+1),0)+IF(AND(24&gt;='合同排期'!J16,24&lt;'合同排期'!J16+12),'合同排期'!O16,0)+AB99*'假设'!D47</x:f>
        <x:v>0</x:v>
      </x:c>
    </x:row>
    <x:row r="102" ht="23" customHeight="1">
      <x:c r="A102" s="1"/>
      <x:c r="B102" s="1"/>
      <x:c r="C102" s="1" t="str">
        <x:v>P11</x:v>
      </x:c>
      <x:c r="D102" s="1" t="str">
        <x:v>工程交付人月</x:v>
      </x:c>
      <x:c r="E102" s="8" t="n">
        <x:f>IF(AND(1&gt;='合同排期'!H16,1&lt;='合同排期'!I16),'合同排期'!M16/('合同排期'!I16-'合同排期'!H16+1),0)</x:f>
        <x:v>0</x:v>
      </x:c>
      <x:c r="F102" s="8" t="n">
        <x:f>IF(AND(2&gt;='合同排期'!H16,2&lt;='合同排期'!I16),'合同排期'!M16/('合同排期'!I16-'合同排期'!H16+1),0)</x:f>
        <x:v>0</x:v>
      </x:c>
      <x:c r="G102" s="8" t="n">
        <x:f>IF(AND(3&gt;='合同排期'!H16,3&lt;='合同排期'!I16),'合同排期'!M16/('合同排期'!I16-'合同排期'!H16+1),0)</x:f>
        <x:v>0</x:v>
      </x:c>
      <x:c r="H102" s="8" t="n">
        <x:f>IF(AND(4&gt;='合同排期'!H16,4&lt;='合同排期'!I16),'合同排期'!M16/('合同排期'!I16-'合同排期'!H16+1),0)</x:f>
        <x:v>0</x:v>
      </x:c>
      <x:c r="I102" s="8" t="n">
        <x:f>IF(AND(5&gt;='合同排期'!H16,5&lt;='合同排期'!I16),'合同排期'!M16/('合同排期'!I16-'合同排期'!H16+1),0)</x:f>
        <x:v>0</x:v>
      </x:c>
      <x:c r="J102" s="8" t="n">
        <x:f>IF(AND(6&gt;='合同排期'!H16,6&lt;='合同排期'!I16),'合同排期'!M16/('合同排期'!I16-'合同排期'!H16+1),0)</x:f>
        <x:v>0</x:v>
      </x:c>
      <x:c r="K102" s="8" t="n">
        <x:f>IF(AND(7&gt;='合同排期'!H16,7&lt;='合同排期'!I16),'合同排期'!M16/('合同排期'!I16-'合同排期'!H16+1),0)</x:f>
        <x:v>0</x:v>
      </x:c>
      <x:c r="L102" s="8" t="n">
        <x:f>IF(AND(8&gt;='合同排期'!H16,8&lt;='合同排期'!I16),'合同排期'!M16/('合同排期'!I16-'合同排期'!H16+1),0)</x:f>
        <x:v>0</x:v>
      </x:c>
      <x:c r="M102" s="8" t="n">
        <x:f>IF(AND(9&gt;='合同排期'!H16,9&lt;='合同排期'!I16),'合同排期'!M16/('合同排期'!I16-'合同排期'!H16+1),0)</x:f>
        <x:v>0</x:v>
      </x:c>
      <x:c r="N102" s="8" t="n">
        <x:f>IF(AND(10&gt;='合同排期'!H16,10&lt;='合同排期'!I16),'合同排期'!M16/('合同排期'!I16-'合同排期'!H16+1),0)</x:f>
        <x:v>0</x:v>
      </x:c>
      <x:c r="O102" s="8" t="n">
        <x:f>IF(AND(11&gt;='合同排期'!H16,11&lt;='合同排期'!I16),'合同排期'!M16/('合同排期'!I16-'合同排期'!H16+1),0)</x:f>
        <x:v>0</x:v>
      </x:c>
      <x:c r="P102" s="8" t="n">
        <x:f>IF(AND(12&gt;='合同排期'!H16,12&lt;='合同排期'!I16),'合同排期'!M16/('合同排期'!I16-'合同排期'!H16+1),0)</x:f>
        <x:v>0</x:v>
      </x:c>
      <x:c r="Q102" s="8" t="n">
        <x:f>IF(AND(13&gt;='合同排期'!H16,13&lt;='合同排期'!I16),'合同排期'!M16/('合同排期'!I16-'合同排期'!H16+1),0)</x:f>
        <x:v>0</x:v>
      </x:c>
      <x:c r="R102" s="8" t="n">
        <x:f>IF(AND(14&gt;='合同排期'!H16,14&lt;='合同排期'!I16),'合同排期'!M16/('合同排期'!I16-'合同排期'!H16+1),0)</x:f>
        <x:v>0</x:v>
      </x:c>
      <x:c r="S102" s="8" t="n">
        <x:f>IF(AND(15&gt;='合同排期'!H16,15&lt;='合同排期'!I16),'合同排期'!M16/('合同排期'!I16-'合同排期'!H16+1),0)</x:f>
        <x:v>0</x:v>
      </x:c>
      <x:c r="T102" s="8" t="n">
        <x:f>IF(AND(16&gt;='合同排期'!H16,16&lt;='合同排期'!I16),'合同排期'!M16/('合同排期'!I16-'合同排期'!H16+1),0)</x:f>
        <x:v>0</x:v>
      </x:c>
      <x:c r="U102" s="8" t="n">
        <x:f>IF(AND(17&gt;='合同排期'!H16,17&lt;='合同排期'!I16),'合同排期'!M16/('合同排期'!I16-'合同排期'!H16+1),0)</x:f>
        <x:v>0</x:v>
      </x:c>
      <x:c r="V102" s="8" t="n">
        <x:f>IF(AND(18&gt;='合同排期'!H16,18&lt;='合同排期'!I16),'合同排期'!M16/('合同排期'!I16-'合同排期'!H16+1),0)</x:f>
        <x:v>0</x:v>
      </x:c>
      <x:c r="W102" s="8" t="n">
        <x:f>IF(AND(19&gt;='合同排期'!H16,19&lt;='合同排期'!I16),'合同排期'!M16/('合同排期'!I16-'合同排期'!H16+1),0)</x:f>
        <x:v>0</x:v>
      </x:c>
      <x:c r="X102" s="8" t="n">
        <x:f>IF(AND(20&gt;='合同排期'!H16,20&lt;='合同排期'!I16),'合同排期'!M16/('合同排期'!I16-'合同排期'!H16+1),0)</x:f>
        <x:v>0</x:v>
      </x:c>
      <x:c r="Y102" s="8" t="n">
        <x:f>IF(AND(21&gt;='合同排期'!H16,21&lt;='合同排期'!I16),'合同排期'!M16/('合同排期'!I16-'合同排期'!H16+1),0)</x:f>
        <x:v>0</x:v>
      </x:c>
      <x:c r="Z102" s="8" t="n">
        <x:f>IF(AND(22&gt;='合同排期'!H16,22&lt;='合同排期'!I16),'合同排期'!M16/('合同排期'!I16-'合同排期'!H16+1),0)</x:f>
        <x:v>0</x:v>
      </x:c>
      <x:c r="AA102" s="8" t="n">
        <x:f>IF(AND(23&gt;='合同排期'!H16,23&lt;='合同排期'!I16),'合同排期'!M16/('合同排期'!I16-'合同排期'!H16+1),0)</x:f>
        <x:v>0</x:v>
      </x:c>
      <x:c r="AB102" s="8" t="n">
        <x:f>IF(AND(24&gt;='合同排期'!H16,24&lt;='合同排期'!I16),'合同排期'!M16/('合同排期'!I16-'合同排期'!H16+1),0)</x:f>
        <x:v>0</x:v>
      </x:c>
    </x:row>
    <x:row r="103" ht="23" customHeight="1">
      <x:c r="A103" s="1"/>
      <x:c r="B103" s="1"/>
      <x:c r="C103" s="1" t="str">
        <x:v>P11</x:v>
      </x:c>
      <x:c r="D103" s="1" t="str">
        <x:v>生效ARR</x:v>
      </x:c>
      <x:c r="E103" s="8" t="n">
        <x:f>IF(AND(1&gt;='合同排期'!J16,1&lt;'合同排期'!J16+12),'合同排期'!L16,0)</x:f>
        <x:v>0</x:v>
      </x:c>
      <x:c r="F103" s="8" t="n">
        <x:f>IF(AND(2&gt;='合同排期'!J16,2&lt;'合同排期'!J16+12),'合同排期'!L16,0)</x:f>
        <x:v>0</x:v>
      </x:c>
      <x:c r="G103" s="8" t="n">
        <x:f>IF(AND(3&gt;='合同排期'!J16,3&lt;'合同排期'!J16+12),'合同排期'!L16,0)</x:f>
        <x:v>0</x:v>
      </x:c>
      <x:c r="H103" s="8" t="n">
        <x:f>IF(AND(4&gt;='合同排期'!J16,4&lt;'合同排期'!J16+12),'合同排期'!L16,0)</x:f>
        <x:v>0</x:v>
      </x:c>
      <x:c r="I103" s="8" t="n">
        <x:f>IF(AND(5&gt;='合同排期'!J16,5&lt;'合同排期'!J16+12),'合同排期'!L16,0)</x:f>
        <x:v>0</x:v>
      </x:c>
      <x:c r="J103" s="8" t="n">
        <x:f>IF(AND(6&gt;='合同排期'!J16,6&lt;'合同排期'!J16+12),'合同排期'!L16,0)</x:f>
        <x:v>0</x:v>
      </x:c>
      <x:c r="K103" s="8" t="n">
        <x:f>IF(AND(7&gt;='合同排期'!J16,7&lt;'合同排期'!J16+12),'合同排期'!L16,0)</x:f>
        <x:v>0</x:v>
      </x:c>
      <x:c r="L103" s="8" t="n">
        <x:f>IF(AND(8&gt;='合同排期'!J16,8&lt;'合同排期'!J16+12),'合同排期'!L16,0)</x:f>
        <x:v>0</x:v>
      </x:c>
      <x:c r="M103" s="8" t="n">
        <x:f>IF(AND(9&gt;='合同排期'!J16,9&lt;'合同排期'!J16+12),'合同排期'!L16,0)</x:f>
        <x:v>0</x:v>
      </x:c>
      <x:c r="N103" s="8" t="n">
        <x:f>IF(AND(10&gt;='合同排期'!J16,10&lt;'合同排期'!J16+12),'合同排期'!L16,0)</x:f>
        <x:v>0</x:v>
      </x:c>
      <x:c r="O103" s="8" t="n">
        <x:f>IF(AND(11&gt;='合同排期'!J16,11&lt;'合同排期'!J16+12),'合同排期'!L16,0)</x:f>
        <x:v>0</x:v>
      </x:c>
      <x:c r="P103" s="8" t="n">
        <x:f>IF(AND(12&gt;='合同排期'!J16,12&lt;'合同排期'!J16+12),'合同排期'!L16,0)</x:f>
        <x:v>0</x:v>
      </x:c>
      <x:c r="Q103" s="8" t="n">
        <x:f>IF(AND(13&gt;='合同排期'!J16,13&lt;'合同排期'!J16+12),'合同排期'!L16,0)</x:f>
        <x:v>0</x:v>
      </x:c>
      <x:c r="R103" s="8" t="n">
        <x:f>IF(AND(14&gt;='合同排期'!J16,14&lt;'合同排期'!J16+12),'合同排期'!L16,0)</x:f>
        <x:v>0</x:v>
      </x:c>
      <x:c r="S103" s="8" t="n">
        <x:f>IF(AND(15&gt;='合同排期'!J16,15&lt;'合同排期'!J16+12),'合同排期'!L16,0)</x:f>
        <x:v>0</x:v>
      </x:c>
      <x:c r="T103" s="8" t="n">
        <x:f>IF(AND(16&gt;='合同排期'!J16,16&lt;'合同排期'!J16+12),'合同排期'!L16,0)</x:f>
        <x:v>0</x:v>
      </x:c>
      <x:c r="U103" s="8" t="n">
        <x:f>IF(AND(17&gt;='合同排期'!J16,17&lt;'合同排期'!J16+12),'合同排期'!L16,0)</x:f>
        <x:v>0</x:v>
      </x:c>
      <x:c r="V103" s="8" t="n">
        <x:f>IF(AND(18&gt;='合同排期'!J16,18&lt;'合同排期'!J16+12),'合同排期'!L16,0)</x:f>
        <x:v>0</x:v>
      </x:c>
      <x:c r="W103" s="8" t="n">
        <x:f>IF(AND(19&gt;='合同排期'!J16,19&lt;'合同排期'!J16+12),'合同排期'!L16,0)</x:f>
        <x:v>0</x:v>
      </x:c>
      <x:c r="X103" s="8" t="n">
        <x:f>IF(AND(20&gt;='合同排期'!J16,20&lt;'合同排期'!J16+12),'合同排期'!L16,0)</x:f>
        <x:v>0</x:v>
      </x:c>
      <x:c r="Y103" s="8" t="n">
        <x:f>IF(AND(21&gt;='合同排期'!J16,21&lt;'合同排期'!J16+12),'合同排期'!L16,0)</x:f>
        <x:v>0</x:v>
      </x:c>
      <x:c r="Z103" s="8" t="n">
        <x:f>IF(AND(22&gt;='合同排期'!J16,22&lt;'合同排期'!J16+12),'合同排期'!L16,0)</x:f>
        <x:v>0</x:v>
      </x:c>
      <x:c r="AA103" s="8" t="n">
        <x:f>IF(AND(23&gt;='合同排期'!J16,23&lt;'合同排期'!J16+12),'合同排期'!L16,0)</x:f>
        <x:v>0</x:v>
      </x:c>
      <x:c r="AB103" s="8" t="n">
        <x:f>IF(AND(24&gt;='合同排期'!J16,24&lt;'合同排期'!J16+12),'合同排期'!L16,0)</x:f>
        <x:v>0</x:v>
      </x:c>
    </x:row>
    <x:row r="104" ht="23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  <x:c r="AA104" s="1"/>
      <x:c r="AB104" s="1"/>
    </x:row>
    <x:row r="105" ht="23" customHeight="1">
      <x:c r="A105" s="1"/>
      <x:c r="B105" s="1"/>
      <x:c r="C105" s="1" t="str">
        <x:v>P12</x:v>
      </x:c>
      <x:c r="D105" s="1" t="str">
        <x:v>净签约</x:v>
      </x:c>
      <x:c r="E105" s="8" t="n">
        <x:f>IF(1='合同排期'!H17,'合同排期'!K17+'合同排期'!L17,0)</x:f>
        <x:v>0</x:v>
      </x:c>
      <x:c r="F105" s="8" t="n">
        <x:f>IF(2='合同排期'!H17,'合同排期'!K17+'合同排期'!L17,0)</x:f>
        <x:v>0</x:v>
      </x:c>
      <x:c r="G105" s="8" t="n">
        <x:f>IF(3='合同排期'!H17,'合同排期'!K17+'合同排期'!L17,0)</x:f>
        <x:v>0</x:v>
      </x:c>
      <x:c r="H105" s="8" t="n">
        <x:f>IF(4='合同排期'!H17,'合同排期'!K17+'合同排期'!L17,0)</x:f>
        <x:v>0</x:v>
      </x:c>
      <x:c r="I105" s="8" t="n">
        <x:f>IF(5='合同排期'!H17,'合同排期'!K17+'合同排期'!L17,0)</x:f>
        <x:v>0</x:v>
      </x:c>
      <x:c r="J105" s="8" t="n">
        <x:f>IF(6='合同排期'!H17,'合同排期'!K17+'合同排期'!L17,0)</x:f>
        <x:v>0</x:v>
      </x:c>
      <x:c r="K105" s="8" t="n">
        <x:f>IF(7='合同排期'!H17,'合同排期'!K17+'合同排期'!L17,0)</x:f>
        <x:v>0</x:v>
      </x:c>
      <x:c r="L105" s="8" t="n">
        <x:f>IF(8='合同排期'!H17,'合同排期'!K17+'合同排期'!L17,0)</x:f>
        <x:v>0</x:v>
      </x:c>
      <x:c r="M105" s="8" t="n">
        <x:f>IF(9='合同排期'!H17,'合同排期'!K17+'合同排期'!L17,0)</x:f>
        <x:v>0</x:v>
      </x:c>
      <x:c r="N105" s="8" t="n">
        <x:f>IF(10='合同排期'!H17,'合同排期'!K17+'合同排期'!L17,0)</x:f>
        <x:v>0</x:v>
      </x:c>
      <x:c r="O105" s="8" t="n">
        <x:f>IF(11='合同排期'!H17,'合同排期'!K17+'合同排期'!L17,0)</x:f>
        <x:v>0</x:v>
      </x:c>
      <x:c r="P105" s="8" t="n">
        <x:f>IF(12='合同排期'!H17,'合同排期'!K17+'合同排期'!L17,0)</x:f>
        <x:v>0</x:v>
      </x:c>
      <x:c r="Q105" s="8" t="n">
        <x:f>IF(13='合同排期'!H17,'合同排期'!K17+'合同排期'!L17,0)</x:f>
        <x:v>0</x:v>
      </x:c>
      <x:c r="R105" s="8" t="n">
        <x:f>IF(14='合同排期'!H17,'合同排期'!K17+'合同排期'!L17,0)</x:f>
        <x:v>0</x:v>
      </x:c>
      <x:c r="S105" s="8" t="n">
        <x:f>IF(15='合同排期'!H17,'合同排期'!K17+'合同排期'!L17,0)</x:f>
        <x:v>0</x:v>
      </x:c>
      <x:c r="T105" s="8" t="n">
        <x:f>IF(16='合同排期'!H17,'合同排期'!K17+'合同排期'!L17,0)</x:f>
        <x:v>0</x:v>
      </x:c>
      <x:c r="U105" s="8" t="n">
        <x:f>IF(17='合同排期'!H17,'合同排期'!K17+'合同排期'!L17,0)</x:f>
        <x:v>0</x:v>
      </x:c>
      <x:c r="V105" s="8" t="n">
        <x:f>IF(18='合同排期'!H17,'合同排期'!K17+'合同排期'!L17,0)</x:f>
        <x:v>0</x:v>
      </x:c>
      <x:c r="W105" s="8" t="n">
        <x:f>IF(19='合同排期'!H17,'合同排期'!K17+'合同排期'!L17,0)</x:f>
        <x:v>0</x:v>
      </x:c>
      <x:c r="X105" s="8" t="n">
        <x:f>IF(20='合同排期'!H17,'合同排期'!K17+'合同排期'!L17,0)</x:f>
        <x:v>0</x:v>
      </x:c>
      <x:c r="Y105" s="8" t="n">
        <x:f>IF(21='合同排期'!H17,'合同排期'!K17+'合同排期'!L17,0)</x:f>
        <x:v>0</x:v>
      </x:c>
      <x:c r="Z105" s="8" t="n">
        <x:f>IF(22='合同排期'!H17,'合同排期'!K17+'合同排期'!L17,0)</x:f>
        <x:v>0</x:v>
      </x:c>
      <x:c r="AA105" s="8" t="n">
        <x:f>IF(23='合同排期'!H17,'合同排期'!K17+'合同排期'!L17,0)</x:f>
        <x:v>0</x:v>
      </x:c>
      <x:c r="AB105" s="8" t="n">
        <x:f>IF(24='合同排期'!H17,'合同排期'!K17+'合同排期'!L17,0)</x:f>
        <x:v>0</x:v>
      </x:c>
    </x:row>
    <x:row r="106" ht="23" customHeight="1">
      <x:c r="A106" s="1"/>
      <x:c r="B106" s="1"/>
      <x:c r="C106" s="1" t="str">
        <x:v>P12</x:v>
      </x:c>
      <x:c r="D106" s="1" t="str">
        <x:v>确认收入</x:v>
      </x:c>
      <x:c r="E106" s="8" t="n">
        <x:f>IF(1='合同排期'!I17,'合同排期'!K17,0)+IF(AND(1&gt;='合同排期'!J17,1&lt;'合同排期'!J17+12),'合同排期'!L17/12,0)</x:f>
        <x:v>0</x:v>
      </x:c>
      <x:c r="F106" s="8" t="n">
        <x:f>IF(2='合同排期'!I17,'合同排期'!K17,0)+IF(AND(2&gt;='合同排期'!J17,2&lt;'合同排期'!J17+12),'合同排期'!L17/12,0)</x:f>
        <x:v>0</x:v>
      </x:c>
      <x:c r="G106" s="8" t="n">
        <x:f>IF(3='合同排期'!I17,'合同排期'!K17,0)+IF(AND(3&gt;='合同排期'!J17,3&lt;'合同排期'!J17+12),'合同排期'!L17/12,0)</x:f>
        <x:v>0</x:v>
      </x:c>
      <x:c r="H106" s="8" t="n">
        <x:f>IF(4='合同排期'!I17,'合同排期'!K17,0)+IF(AND(4&gt;='合同排期'!J17,4&lt;'合同排期'!J17+12),'合同排期'!L17/12,0)</x:f>
        <x:v>0</x:v>
      </x:c>
      <x:c r="I106" s="8" t="n">
        <x:f>IF(5='合同排期'!I17,'合同排期'!K17,0)+IF(AND(5&gt;='合同排期'!J17,5&lt;'合同排期'!J17+12),'合同排期'!L17/12,0)</x:f>
        <x:v>0</x:v>
      </x:c>
      <x:c r="J106" s="8" t="n">
        <x:f>IF(6='合同排期'!I17,'合同排期'!K17,0)+IF(AND(6&gt;='合同排期'!J17,6&lt;'合同排期'!J17+12),'合同排期'!L17/12,0)</x:f>
        <x:v>0</x:v>
      </x:c>
      <x:c r="K106" s="8" t="n">
        <x:f>IF(7='合同排期'!I17,'合同排期'!K17,0)+IF(AND(7&gt;='合同排期'!J17,7&lt;'合同排期'!J17+12),'合同排期'!L17/12,0)</x:f>
        <x:v>0</x:v>
      </x:c>
      <x:c r="L106" s="8" t="n">
        <x:f>IF(8='合同排期'!I17,'合同排期'!K17,0)+IF(AND(8&gt;='合同排期'!J17,8&lt;'合同排期'!J17+12),'合同排期'!L17/12,0)</x:f>
        <x:v>0</x:v>
      </x:c>
      <x:c r="M106" s="8" t="n">
        <x:f>IF(9='合同排期'!I17,'合同排期'!K17,0)+IF(AND(9&gt;='合同排期'!J17,9&lt;'合同排期'!J17+12),'合同排期'!L17/12,0)</x:f>
        <x:v>0</x:v>
      </x:c>
      <x:c r="N106" s="8" t="n">
        <x:f>IF(10='合同排期'!I17,'合同排期'!K17,0)+IF(AND(10&gt;='合同排期'!J17,10&lt;'合同排期'!J17+12),'合同排期'!L17/12,0)</x:f>
        <x:v>0</x:v>
      </x:c>
      <x:c r="O106" s="8" t="n">
        <x:f>IF(11='合同排期'!I17,'合同排期'!K17,0)+IF(AND(11&gt;='合同排期'!J17,11&lt;'合同排期'!J17+12),'合同排期'!L17/12,0)</x:f>
        <x:v>0</x:v>
      </x:c>
      <x:c r="P106" s="8" t="n">
        <x:f>IF(12='合同排期'!I17,'合同排期'!K17,0)+IF(AND(12&gt;='合同排期'!J17,12&lt;'合同排期'!J17+12),'合同排期'!L17/12,0)</x:f>
        <x:v>0</x:v>
      </x:c>
      <x:c r="Q106" s="8" t="n">
        <x:f>IF(13='合同排期'!I17,'合同排期'!K17,0)+IF(AND(13&gt;='合同排期'!J17,13&lt;'合同排期'!J17+12),'合同排期'!L17/12,0)</x:f>
        <x:v>0</x:v>
      </x:c>
      <x:c r="R106" s="8" t="n">
        <x:f>IF(14='合同排期'!I17,'合同排期'!K17,0)+IF(AND(14&gt;='合同排期'!J17,14&lt;'合同排期'!J17+12),'合同排期'!L17/12,0)</x:f>
        <x:v>0</x:v>
      </x:c>
      <x:c r="S106" s="8" t="n">
        <x:f>IF(15='合同排期'!I17,'合同排期'!K17,0)+IF(AND(15&gt;='合同排期'!J17,15&lt;'合同排期'!J17+12),'合同排期'!L17/12,0)</x:f>
        <x:v>0</x:v>
      </x:c>
      <x:c r="T106" s="8" t="n">
        <x:f>IF(16='合同排期'!I17,'合同排期'!K17,0)+IF(AND(16&gt;='合同排期'!J17,16&lt;'合同排期'!J17+12),'合同排期'!L17/12,0)</x:f>
        <x:v>0</x:v>
      </x:c>
      <x:c r="U106" s="8" t="n">
        <x:f>IF(17='合同排期'!I17,'合同排期'!K17,0)+IF(AND(17&gt;='合同排期'!J17,17&lt;'合同排期'!J17+12),'合同排期'!L17/12,0)</x:f>
        <x:v>0</x:v>
      </x:c>
      <x:c r="V106" s="8" t="n">
        <x:f>IF(18='合同排期'!I17,'合同排期'!K17,0)+IF(AND(18&gt;='合同排期'!J17,18&lt;'合同排期'!J17+12),'合同排期'!L17/12,0)</x:f>
        <x:v>0</x:v>
      </x:c>
      <x:c r="W106" s="8" t="n">
        <x:f>IF(19='合同排期'!I17,'合同排期'!K17,0)+IF(AND(19&gt;='合同排期'!J17,19&lt;'合同排期'!J17+12),'合同排期'!L17/12,0)</x:f>
        <x:v>0</x:v>
      </x:c>
      <x:c r="X106" s="8" t="n">
        <x:f>IF(20='合同排期'!I17,'合同排期'!K17,0)+IF(AND(20&gt;='合同排期'!J17,20&lt;'合同排期'!J17+12),'合同排期'!L17/12,0)</x:f>
        <x:v>0</x:v>
      </x:c>
      <x:c r="Y106" s="8" t="n">
        <x:f>IF(21='合同排期'!I17,'合同排期'!K17,0)+IF(AND(21&gt;='合同排期'!J17,21&lt;'合同排期'!J17+12),'合同排期'!L17/12,0)</x:f>
        <x:v>0</x:v>
      </x:c>
      <x:c r="Z106" s="8" t="n">
        <x:f>IF(22='合同排期'!I17,'合同排期'!K17,0)+IF(AND(22&gt;='合同排期'!J17,22&lt;'合同排期'!J17+12),'合同排期'!L17/12,0)</x:f>
        <x:v>0</x:v>
      </x:c>
      <x:c r="AA106" s="8" t="n">
        <x:f>IF(23='合同排期'!I17,'合同排期'!K17,0)+IF(AND(23&gt;='合同排期'!J17,23&lt;'合同排期'!J17+12),'合同排期'!L17/12,0)</x:f>
        <x:v>0</x:v>
      </x:c>
      <x:c r="AB106" s="8" t="n">
        <x:f>IF(24='合同排期'!I17,'合同排期'!K17,0)+IF(AND(24&gt;='合同排期'!J17,24&lt;'合同排期'!J17+12),'合同排期'!L17/12,0)</x:f>
        <x:v>0</x:v>
      </x:c>
    </x:row>
    <x:row r="107" ht="23" customHeight="1">
      <x:c r="A107" s="1"/>
      <x:c r="B107" s="1"/>
      <x:c r="C107" s="1" t="str">
        <x:v>P12</x:v>
      </x:c>
      <x:c r="D107" s="1" t="str">
        <x:v>开票</x:v>
      </x:c>
      <x:c r="E107" s="8" t="n">
        <x:f>IF(1='合同排期'!H17,'合同排期'!K17*'合同排期'!P17,0)+IF(1='合同排期'!S17,'合同排期'!K17*'合同排期'!Q17,0)+IF(1='合同排期'!I17,'合同排期'!K17*'合同排期'!R17,0)+IF(1='合同排期'!J17,'合同排期'!L17,0)</x:f>
        <x:v>0</x:v>
      </x:c>
      <x:c r="F107" s="8" t="n">
        <x:f>IF(2='合同排期'!H17,'合同排期'!K17*'合同排期'!P17,0)+IF(2='合同排期'!S17,'合同排期'!K17*'合同排期'!Q17,0)+IF(2='合同排期'!I17,'合同排期'!K17*'合同排期'!R17,0)+IF(2='合同排期'!J17,'合同排期'!L17,0)</x:f>
        <x:v>0</x:v>
      </x:c>
      <x:c r="G107" s="8" t="n">
        <x:f>IF(3='合同排期'!H17,'合同排期'!K17*'合同排期'!P17,0)+IF(3='合同排期'!S17,'合同排期'!K17*'合同排期'!Q17,0)+IF(3='合同排期'!I17,'合同排期'!K17*'合同排期'!R17,0)+IF(3='合同排期'!J17,'合同排期'!L17,0)</x:f>
        <x:v>0</x:v>
      </x:c>
      <x:c r="H107" s="8" t="n">
        <x:f>IF(4='合同排期'!H17,'合同排期'!K17*'合同排期'!P17,0)+IF(4='合同排期'!S17,'合同排期'!K17*'合同排期'!Q17,0)+IF(4='合同排期'!I17,'合同排期'!K17*'合同排期'!R17,0)+IF(4='合同排期'!J17,'合同排期'!L17,0)</x:f>
        <x:v>0</x:v>
      </x:c>
      <x:c r="I107" s="8" t="n">
        <x:f>IF(5='合同排期'!H17,'合同排期'!K17*'合同排期'!P17,0)+IF(5='合同排期'!S17,'合同排期'!K17*'合同排期'!Q17,0)+IF(5='合同排期'!I17,'合同排期'!K17*'合同排期'!R17,0)+IF(5='合同排期'!J17,'合同排期'!L17,0)</x:f>
        <x:v>0</x:v>
      </x:c>
      <x:c r="J107" s="8" t="n">
        <x:f>IF(6='合同排期'!H17,'合同排期'!K17*'合同排期'!P17,0)+IF(6='合同排期'!S17,'合同排期'!K17*'合同排期'!Q17,0)+IF(6='合同排期'!I17,'合同排期'!K17*'合同排期'!R17,0)+IF(6='合同排期'!J17,'合同排期'!L17,0)</x:f>
        <x:v>0</x:v>
      </x:c>
      <x:c r="K107" s="8" t="n">
        <x:f>IF(7='合同排期'!H17,'合同排期'!K17*'合同排期'!P17,0)+IF(7='合同排期'!S17,'合同排期'!K17*'合同排期'!Q17,0)+IF(7='合同排期'!I17,'合同排期'!K17*'合同排期'!R17,0)+IF(7='合同排期'!J17,'合同排期'!L17,0)</x:f>
        <x:v>0</x:v>
      </x:c>
      <x:c r="L107" s="8" t="n">
        <x:f>IF(8='合同排期'!H17,'合同排期'!K17*'合同排期'!P17,0)+IF(8='合同排期'!S17,'合同排期'!K17*'合同排期'!Q17,0)+IF(8='合同排期'!I17,'合同排期'!K17*'合同排期'!R17,0)+IF(8='合同排期'!J17,'合同排期'!L17,0)</x:f>
        <x:v>0</x:v>
      </x:c>
      <x:c r="M107" s="8" t="n">
        <x:f>IF(9='合同排期'!H17,'合同排期'!K17*'合同排期'!P17,0)+IF(9='合同排期'!S17,'合同排期'!K17*'合同排期'!Q17,0)+IF(9='合同排期'!I17,'合同排期'!K17*'合同排期'!R17,0)+IF(9='合同排期'!J17,'合同排期'!L17,0)</x:f>
        <x:v>0</x:v>
      </x:c>
      <x:c r="N107" s="8" t="n">
        <x:f>IF(10='合同排期'!H17,'合同排期'!K17*'合同排期'!P17,0)+IF(10='合同排期'!S17,'合同排期'!K17*'合同排期'!Q17,0)+IF(10='合同排期'!I17,'合同排期'!K17*'合同排期'!R17,0)+IF(10='合同排期'!J17,'合同排期'!L17,0)</x:f>
        <x:v>0</x:v>
      </x:c>
      <x:c r="O107" s="8" t="n">
        <x:f>IF(11='合同排期'!H17,'合同排期'!K17*'合同排期'!P17,0)+IF(11='合同排期'!S17,'合同排期'!K17*'合同排期'!Q17,0)+IF(11='合同排期'!I17,'合同排期'!K17*'合同排期'!R17,0)+IF(11='合同排期'!J17,'合同排期'!L17,0)</x:f>
        <x:v>0</x:v>
      </x:c>
      <x:c r="P107" s="8" t="n">
        <x:f>IF(12='合同排期'!H17,'合同排期'!K17*'合同排期'!P17,0)+IF(12='合同排期'!S17,'合同排期'!K17*'合同排期'!Q17,0)+IF(12='合同排期'!I17,'合同排期'!K17*'合同排期'!R17,0)+IF(12='合同排期'!J17,'合同排期'!L17,0)</x:f>
        <x:v>0</x:v>
      </x:c>
      <x:c r="Q107" s="8" t="n">
        <x:f>IF(13='合同排期'!H17,'合同排期'!K17*'合同排期'!P17,0)+IF(13='合同排期'!S17,'合同排期'!K17*'合同排期'!Q17,0)+IF(13='合同排期'!I17,'合同排期'!K17*'合同排期'!R17,0)+IF(13='合同排期'!J17,'合同排期'!L17,0)</x:f>
        <x:v>0</x:v>
      </x:c>
      <x:c r="R107" s="8" t="n">
        <x:f>IF(14='合同排期'!H17,'合同排期'!K17*'合同排期'!P17,0)+IF(14='合同排期'!S17,'合同排期'!K17*'合同排期'!Q17,0)+IF(14='合同排期'!I17,'合同排期'!K17*'合同排期'!R17,0)+IF(14='合同排期'!J17,'合同排期'!L17,0)</x:f>
        <x:v>0</x:v>
      </x:c>
      <x:c r="S107" s="8" t="n">
        <x:f>IF(15='合同排期'!H17,'合同排期'!K17*'合同排期'!P17,0)+IF(15='合同排期'!S17,'合同排期'!K17*'合同排期'!Q17,0)+IF(15='合同排期'!I17,'合同排期'!K17*'合同排期'!R17,0)+IF(15='合同排期'!J17,'合同排期'!L17,0)</x:f>
        <x:v>0</x:v>
      </x:c>
      <x:c r="T107" s="8" t="n">
        <x:f>IF(16='合同排期'!H17,'合同排期'!K17*'合同排期'!P17,0)+IF(16='合同排期'!S17,'合同排期'!K17*'合同排期'!Q17,0)+IF(16='合同排期'!I17,'合同排期'!K17*'合同排期'!R17,0)+IF(16='合同排期'!J17,'合同排期'!L17,0)</x:f>
        <x:v>0</x:v>
      </x:c>
      <x:c r="U107" s="8" t="n">
        <x:f>IF(17='合同排期'!H17,'合同排期'!K17*'合同排期'!P17,0)+IF(17='合同排期'!S17,'合同排期'!K17*'合同排期'!Q17,0)+IF(17='合同排期'!I17,'合同排期'!K17*'合同排期'!R17,0)+IF(17='合同排期'!J17,'合同排期'!L17,0)</x:f>
        <x:v>0</x:v>
      </x:c>
      <x:c r="V107" s="8" t="n">
        <x:f>IF(18='合同排期'!H17,'合同排期'!K17*'合同排期'!P17,0)+IF(18='合同排期'!S17,'合同排期'!K17*'合同排期'!Q17,0)+IF(18='合同排期'!I17,'合同排期'!K17*'合同排期'!R17,0)+IF(18='合同排期'!J17,'合同排期'!L17,0)</x:f>
        <x:v>0</x:v>
      </x:c>
      <x:c r="W107" s="8" t="n">
        <x:f>IF(19='合同排期'!H17,'合同排期'!K17*'合同排期'!P17,0)+IF(19='合同排期'!S17,'合同排期'!K17*'合同排期'!Q17,0)+IF(19='合同排期'!I17,'合同排期'!K17*'合同排期'!R17,0)+IF(19='合同排期'!J17,'合同排期'!L17,0)</x:f>
        <x:v>0</x:v>
      </x:c>
      <x:c r="X107" s="8" t="n">
        <x:f>IF(20='合同排期'!H17,'合同排期'!K17*'合同排期'!P17,0)+IF(20='合同排期'!S17,'合同排期'!K17*'合同排期'!Q17,0)+IF(20='合同排期'!I17,'合同排期'!K17*'合同排期'!R17,0)+IF(20='合同排期'!J17,'合同排期'!L17,0)</x:f>
        <x:v>0</x:v>
      </x:c>
      <x:c r="Y107" s="8" t="n">
        <x:f>IF(21='合同排期'!H17,'合同排期'!K17*'合同排期'!P17,0)+IF(21='合同排期'!S17,'合同排期'!K17*'合同排期'!Q17,0)+IF(21='合同排期'!I17,'合同排期'!K17*'合同排期'!R17,0)+IF(21='合同排期'!J17,'合同排期'!L17,0)</x:f>
        <x:v>0</x:v>
      </x:c>
      <x:c r="Z107" s="8" t="n">
        <x:f>IF(22='合同排期'!H17,'合同排期'!K17*'合同排期'!P17,0)+IF(22='合同排期'!S17,'合同排期'!K17*'合同排期'!Q17,0)+IF(22='合同排期'!I17,'合同排期'!K17*'合同排期'!R17,0)+IF(22='合同排期'!J17,'合同排期'!L17,0)</x:f>
        <x:v>0</x:v>
      </x:c>
      <x:c r="AA107" s="8" t="n">
        <x:f>IF(23='合同排期'!H17,'合同排期'!K17*'合同排期'!P17,0)+IF(23='合同排期'!S17,'合同排期'!K17*'合同排期'!Q17,0)+IF(23='合同排期'!I17,'合同排期'!K17*'合同排期'!R17,0)+IF(23='合同排期'!J17,'合同排期'!L17,0)</x:f>
        <x:v>0</x:v>
      </x:c>
      <x:c r="AB107" s="8" t="n">
        <x:f>IF(24='合同排期'!H17,'合同排期'!K17*'合同排期'!P17,0)+IF(24='合同排期'!S17,'合同排期'!K17*'合同排期'!Q17,0)+IF(24='合同排期'!I17,'合同排期'!K17*'合同排期'!R17,0)+IF(24='合同排期'!J17,'合同排期'!L17,0)</x:f>
        <x:v>0</x:v>
      </x:c>
    </x:row>
    <x:row r="108" ht="23" customHeight="1">
      <x:c r="A108" s="1"/>
      <x:c r="B108" s="1"/>
      <x:c r="C108" s="1" t="str">
        <x:v>P12</x:v>
      </x:c>
      <x:c r="D108" s="1" t="str">
        <x:v>回款</x:v>
      </x:c>
      <x:c r="E108" s="8" t="n">
        <x:f>IF(1&gt;'假设'!D27,INDEX($E107:$AB107,1,1-'假设'!D27),0)</x:f>
        <x:v>0</x:v>
      </x:c>
      <x:c r="F108" s="8" t="n">
        <x:f>IF(2&gt;'假设'!D27,INDEX($E107:$AB107,1,2-'假设'!D27),0)</x:f>
        <x:v>0</x:v>
      </x:c>
      <x:c r="G108" s="8" t="n">
        <x:f>IF(3&gt;'假设'!D27,INDEX($E107:$AB107,1,3-'假设'!D27),0)</x:f>
        <x:v>0</x:v>
      </x:c>
      <x:c r="H108" s="8" t="n">
        <x:f>IF(4&gt;'假设'!D27,INDEX($E107:$AB107,1,4-'假设'!D27),0)</x:f>
        <x:v>0</x:v>
      </x:c>
      <x:c r="I108" s="8" t="n">
        <x:f>IF(5&gt;'假设'!D27,INDEX($E107:$AB107,1,5-'假设'!D27),0)</x:f>
        <x:v>0</x:v>
      </x:c>
      <x:c r="J108" s="8" t="n">
        <x:f>IF(6&gt;'假设'!D27,INDEX($E107:$AB107,1,6-'假设'!D27),0)</x:f>
        <x:v>0</x:v>
      </x:c>
      <x:c r="K108" s="8" t="n">
        <x:f>IF(7&gt;'假设'!D27,INDEX($E107:$AB107,1,7-'假设'!D27),0)</x:f>
        <x:v>0</x:v>
      </x:c>
      <x:c r="L108" s="8" t="n">
        <x:f>IF(8&gt;'假设'!D27,INDEX($E107:$AB107,1,8-'假设'!D27),0)</x:f>
        <x:v>0</x:v>
      </x:c>
      <x:c r="M108" s="8" t="n">
        <x:f>IF(9&gt;'假设'!D27,INDEX($E107:$AB107,1,9-'假设'!D27),0)</x:f>
        <x:v>0</x:v>
      </x:c>
      <x:c r="N108" s="8" t="n">
        <x:f>IF(10&gt;'假设'!D27,INDEX($E107:$AB107,1,10-'假设'!D27),0)</x:f>
        <x:v>0</x:v>
      </x:c>
      <x:c r="O108" s="8" t="n">
        <x:f>IF(11&gt;'假设'!D27,INDEX($E107:$AB107,1,11-'假设'!D27),0)</x:f>
        <x:v>0</x:v>
      </x:c>
      <x:c r="P108" s="8" t="n">
        <x:f>IF(12&gt;'假设'!D27,INDEX($E107:$AB107,1,12-'假设'!D27),0)</x:f>
        <x:v>0</x:v>
      </x:c>
      <x:c r="Q108" s="8" t="n">
        <x:f>IF(13&gt;'假设'!D27,INDEX($E107:$AB107,1,13-'假设'!D27),0)</x:f>
        <x:v>0</x:v>
      </x:c>
      <x:c r="R108" s="8" t="n">
        <x:f>IF(14&gt;'假设'!D27,INDEX($E107:$AB107,1,14-'假设'!D27),0)</x:f>
        <x:v>0</x:v>
      </x:c>
      <x:c r="S108" s="8" t="n">
        <x:f>IF(15&gt;'假设'!D27,INDEX($E107:$AB107,1,15-'假设'!D27),0)</x:f>
        <x:v>0</x:v>
      </x:c>
      <x:c r="T108" s="8" t="n">
        <x:f>IF(16&gt;'假设'!D27,INDEX($E107:$AB107,1,16-'假设'!D27),0)</x:f>
        <x:v>0</x:v>
      </x:c>
      <x:c r="U108" s="8" t="n">
        <x:f>IF(17&gt;'假设'!D27,INDEX($E107:$AB107,1,17-'假设'!D27),0)</x:f>
        <x:v>0</x:v>
      </x:c>
      <x:c r="V108" s="8" t="n">
        <x:f>IF(18&gt;'假设'!D27,INDEX($E107:$AB107,1,18-'假设'!D27),0)</x:f>
        <x:v>0</x:v>
      </x:c>
      <x:c r="W108" s="8" t="n">
        <x:f>IF(19&gt;'假设'!D27,INDEX($E107:$AB107,1,19-'假设'!D27),0)</x:f>
        <x:v>0</x:v>
      </x:c>
      <x:c r="X108" s="8" t="n">
        <x:f>IF(20&gt;'假设'!D27,INDEX($E107:$AB107,1,20-'假设'!D27),0)</x:f>
        <x:v>0</x:v>
      </x:c>
      <x:c r="Y108" s="8" t="n">
        <x:f>IF(21&gt;'假设'!D27,INDEX($E107:$AB107,1,21-'假设'!D27),0)</x:f>
        <x:v>0</x:v>
      </x:c>
      <x:c r="Z108" s="8" t="n">
        <x:f>IF(22&gt;'假设'!D27,INDEX($E107:$AB107,1,22-'假设'!D27),0)</x:f>
        <x:v>0</x:v>
      </x:c>
      <x:c r="AA108" s="8" t="n">
        <x:f>IF(23&gt;'假设'!D27,INDEX($E107:$AB107,1,23-'假设'!D27),0)</x:f>
        <x:v>0</x:v>
      </x:c>
      <x:c r="AB108" s="8" t="n">
        <x:f>IF(24&gt;'假设'!D27,INDEX($E107:$AB107,1,24-'假设'!D27),0)</x:f>
        <x:v>0</x:v>
      </x:c>
    </x:row>
    <x:row r="109" ht="23" customHeight="1">
      <x:c r="A109" s="1"/>
      <x:c r="B109" s="1"/>
      <x:c r="C109" s="1" t="str">
        <x:v>P12</x:v>
      </x:c>
      <x:c r="D109" s="1" t="str">
        <x:v>直接损益成本</x:v>
      </x:c>
      <x:c r="E109" s="8" t="n">
        <x:f>IF(1='合同排期'!I17,'合同排期'!N17,0)+IF(AND(1&gt;='合同排期'!J17,1&lt;'合同排期'!J17+12),'合同排期'!O17,0)+E105*'假设'!D47</x:f>
        <x:v>0</x:v>
      </x:c>
      <x:c r="F109" s="8" t="n">
        <x:f>IF(2='合同排期'!I17,'合同排期'!N17,0)+IF(AND(2&gt;='合同排期'!J17,2&lt;'合同排期'!J17+12),'合同排期'!O17,0)+F105*'假设'!D47</x:f>
        <x:v>0</x:v>
      </x:c>
      <x:c r="G109" s="8" t="n">
        <x:f>IF(3='合同排期'!I17,'合同排期'!N17,0)+IF(AND(3&gt;='合同排期'!J17,3&lt;'合同排期'!J17+12),'合同排期'!O17,0)+G105*'假设'!D47</x:f>
        <x:v>0</x:v>
      </x:c>
      <x:c r="H109" s="8" t="n">
        <x:f>IF(4='合同排期'!I17,'合同排期'!N17,0)+IF(AND(4&gt;='合同排期'!J17,4&lt;'合同排期'!J17+12),'合同排期'!O17,0)+H105*'假设'!D47</x:f>
        <x:v>0</x:v>
      </x:c>
      <x:c r="I109" s="8" t="n">
        <x:f>IF(5='合同排期'!I17,'合同排期'!N17,0)+IF(AND(5&gt;='合同排期'!J17,5&lt;'合同排期'!J17+12),'合同排期'!O17,0)+I105*'假设'!D47</x:f>
        <x:v>0</x:v>
      </x:c>
      <x:c r="J109" s="8" t="n">
        <x:f>IF(6='合同排期'!I17,'合同排期'!N17,0)+IF(AND(6&gt;='合同排期'!J17,6&lt;'合同排期'!J17+12),'合同排期'!O17,0)+J105*'假设'!D47</x:f>
        <x:v>0</x:v>
      </x:c>
      <x:c r="K109" s="8" t="n">
        <x:f>IF(7='合同排期'!I17,'合同排期'!N17,0)+IF(AND(7&gt;='合同排期'!J17,7&lt;'合同排期'!J17+12),'合同排期'!O17,0)+K105*'假设'!D47</x:f>
        <x:v>0</x:v>
      </x:c>
      <x:c r="L109" s="8" t="n">
        <x:f>IF(8='合同排期'!I17,'合同排期'!N17,0)+IF(AND(8&gt;='合同排期'!J17,8&lt;'合同排期'!J17+12),'合同排期'!O17,0)+L105*'假设'!D47</x:f>
        <x:v>0</x:v>
      </x:c>
      <x:c r="M109" s="8" t="n">
        <x:f>IF(9='合同排期'!I17,'合同排期'!N17,0)+IF(AND(9&gt;='合同排期'!J17,9&lt;'合同排期'!J17+12),'合同排期'!O17,0)+M105*'假设'!D47</x:f>
        <x:v>0</x:v>
      </x:c>
      <x:c r="N109" s="8" t="n">
        <x:f>IF(10='合同排期'!I17,'合同排期'!N17,0)+IF(AND(10&gt;='合同排期'!J17,10&lt;'合同排期'!J17+12),'合同排期'!O17,0)+N105*'假设'!D47</x:f>
        <x:v>0</x:v>
      </x:c>
      <x:c r="O109" s="8" t="n">
        <x:f>IF(11='合同排期'!I17,'合同排期'!N17,0)+IF(AND(11&gt;='合同排期'!J17,11&lt;'合同排期'!J17+12),'合同排期'!O17,0)+O105*'假设'!D47</x:f>
        <x:v>0</x:v>
      </x:c>
      <x:c r="P109" s="8" t="n">
        <x:f>IF(12='合同排期'!I17,'合同排期'!N17,0)+IF(AND(12&gt;='合同排期'!J17,12&lt;'合同排期'!J17+12),'合同排期'!O17,0)+P105*'假设'!D47</x:f>
        <x:v>0</x:v>
      </x:c>
      <x:c r="Q109" s="8" t="n">
        <x:f>IF(13='合同排期'!I17,'合同排期'!N17,0)+IF(AND(13&gt;='合同排期'!J17,13&lt;'合同排期'!J17+12),'合同排期'!O17,0)+Q105*'假设'!D47</x:f>
        <x:v>0</x:v>
      </x:c>
      <x:c r="R109" s="8" t="n">
        <x:f>IF(14='合同排期'!I17,'合同排期'!N17,0)+IF(AND(14&gt;='合同排期'!J17,14&lt;'合同排期'!J17+12),'合同排期'!O17,0)+R105*'假设'!D47</x:f>
        <x:v>0</x:v>
      </x:c>
      <x:c r="S109" s="8" t="n">
        <x:f>IF(15='合同排期'!I17,'合同排期'!N17,0)+IF(AND(15&gt;='合同排期'!J17,15&lt;'合同排期'!J17+12),'合同排期'!O17,0)+S105*'假设'!D47</x:f>
        <x:v>0</x:v>
      </x:c>
      <x:c r="T109" s="8" t="n">
        <x:f>IF(16='合同排期'!I17,'合同排期'!N17,0)+IF(AND(16&gt;='合同排期'!J17,16&lt;'合同排期'!J17+12),'合同排期'!O17,0)+T105*'假设'!D47</x:f>
        <x:v>0</x:v>
      </x:c>
      <x:c r="U109" s="8" t="n">
        <x:f>IF(17='合同排期'!I17,'合同排期'!N17,0)+IF(AND(17&gt;='合同排期'!J17,17&lt;'合同排期'!J17+12),'合同排期'!O17,0)+U105*'假设'!D47</x:f>
        <x:v>0</x:v>
      </x:c>
      <x:c r="V109" s="8" t="n">
        <x:f>IF(18='合同排期'!I17,'合同排期'!N17,0)+IF(AND(18&gt;='合同排期'!J17,18&lt;'合同排期'!J17+12),'合同排期'!O17,0)+V105*'假设'!D47</x:f>
        <x:v>0</x:v>
      </x:c>
      <x:c r="W109" s="8" t="n">
        <x:f>IF(19='合同排期'!I17,'合同排期'!N17,0)+IF(AND(19&gt;='合同排期'!J17,19&lt;'合同排期'!J17+12),'合同排期'!O17,0)+W105*'假设'!D47</x:f>
        <x:v>0</x:v>
      </x:c>
      <x:c r="X109" s="8" t="n">
        <x:f>IF(20='合同排期'!I17,'合同排期'!N17,0)+IF(AND(20&gt;='合同排期'!J17,20&lt;'合同排期'!J17+12),'合同排期'!O17,0)+X105*'假设'!D47</x:f>
        <x:v>0</x:v>
      </x:c>
      <x:c r="Y109" s="8" t="n">
        <x:f>IF(21='合同排期'!I17,'合同排期'!N17,0)+IF(AND(21&gt;='合同排期'!J17,21&lt;'合同排期'!J17+12),'合同排期'!O17,0)+Y105*'假设'!D47</x:f>
        <x:v>0</x:v>
      </x:c>
      <x:c r="Z109" s="8" t="n">
        <x:f>IF(22='合同排期'!I17,'合同排期'!N17,0)+IF(AND(22&gt;='合同排期'!J17,22&lt;'合同排期'!J17+12),'合同排期'!O17,0)+Z105*'假设'!D47</x:f>
        <x:v>0</x:v>
      </x:c>
      <x:c r="AA109" s="8" t="n">
        <x:f>IF(23='合同排期'!I17,'合同排期'!N17,0)+IF(AND(23&gt;='合同排期'!J17,23&lt;'合同排期'!J17+12),'合同排期'!O17,0)+AA105*'假设'!D47</x:f>
        <x:v>0</x:v>
      </x:c>
      <x:c r="AB109" s="8" t="n">
        <x:f>IF(24='合同排期'!I17,'合同排期'!N17,0)+IF(AND(24&gt;='合同排期'!J17,24&lt;'合同排期'!J17+12),'合同排期'!O17,0)+AB105*'假设'!D47</x:f>
        <x:v>0</x:v>
      </x:c>
    </x:row>
    <x:row r="110" ht="23" customHeight="1">
      <x:c r="A110" s="1"/>
      <x:c r="B110" s="1"/>
      <x:c r="C110" s="1" t="str">
        <x:v>P12</x:v>
      </x:c>
      <x:c r="D110" s="1" t="str">
        <x:v>直接现金成本</x:v>
      </x:c>
      <x:c r="E110" s="8" t="n">
        <x:f>IF(AND(1&gt;='合同排期'!H17,1&lt;='合同排期'!I17),'合同排期'!N17/('合同排期'!I17-'合同排期'!H17+1),0)+IF(AND(1&gt;='合同排期'!J17,1&lt;'合同排期'!J17+12),'合同排期'!O17,0)+E108*'假设'!D47</x:f>
        <x:v>0</x:v>
      </x:c>
      <x:c r="F110" s="8" t="n">
        <x:f>IF(AND(2&gt;='合同排期'!H17,2&lt;='合同排期'!I17),'合同排期'!N17/('合同排期'!I17-'合同排期'!H17+1),0)+IF(AND(2&gt;='合同排期'!J17,2&lt;'合同排期'!J17+12),'合同排期'!O17,0)+F108*'假设'!D47</x:f>
        <x:v>0</x:v>
      </x:c>
      <x:c r="G110" s="8" t="n">
        <x:f>IF(AND(3&gt;='合同排期'!H17,3&lt;='合同排期'!I17),'合同排期'!N17/('合同排期'!I17-'合同排期'!H17+1),0)+IF(AND(3&gt;='合同排期'!J17,3&lt;'合同排期'!J17+12),'合同排期'!O17,0)+G108*'假设'!D47</x:f>
        <x:v>0</x:v>
      </x:c>
      <x:c r="H110" s="8" t="n">
        <x:f>IF(AND(4&gt;='合同排期'!H17,4&lt;='合同排期'!I17),'合同排期'!N17/('合同排期'!I17-'合同排期'!H17+1),0)+IF(AND(4&gt;='合同排期'!J17,4&lt;'合同排期'!J17+12),'合同排期'!O17,0)+H108*'假设'!D47</x:f>
        <x:v>0</x:v>
      </x:c>
      <x:c r="I110" s="8" t="n">
        <x:f>IF(AND(5&gt;='合同排期'!H17,5&lt;='合同排期'!I17),'合同排期'!N17/('合同排期'!I17-'合同排期'!H17+1),0)+IF(AND(5&gt;='合同排期'!J17,5&lt;'合同排期'!J17+12),'合同排期'!O17,0)+I108*'假设'!D47</x:f>
        <x:v>0</x:v>
      </x:c>
      <x:c r="J110" s="8" t="n">
        <x:f>IF(AND(6&gt;='合同排期'!H17,6&lt;='合同排期'!I17),'合同排期'!N17/('合同排期'!I17-'合同排期'!H17+1),0)+IF(AND(6&gt;='合同排期'!J17,6&lt;'合同排期'!J17+12),'合同排期'!O17,0)+J108*'假设'!D47</x:f>
        <x:v>0</x:v>
      </x:c>
      <x:c r="K110" s="8" t="n">
        <x:f>IF(AND(7&gt;='合同排期'!H17,7&lt;='合同排期'!I17),'合同排期'!N17/('合同排期'!I17-'合同排期'!H17+1),0)+IF(AND(7&gt;='合同排期'!J17,7&lt;'合同排期'!J17+12),'合同排期'!O17,0)+K108*'假设'!D47</x:f>
        <x:v>0</x:v>
      </x:c>
      <x:c r="L110" s="8" t="n">
        <x:f>IF(AND(8&gt;='合同排期'!H17,8&lt;='合同排期'!I17),'合同排期'!N17/('合同排期'!I17-'合同排期'!H17+1),0)+IF(AND(8&gt;='合同排期'!J17,8&lt;'合同排期'!J17+12),'合同排期'!O17,0)+L108*'假设'!D47</x:f>
        <x:v>0</x:v>
      </x:c>
      <x:c r="M110" s="8" t="n">
        <x:f>IF(AND(9&gt;='合同排期'!H17,9&lt;='合同排期'!I17),'合同排期'!N17/('合同排期'!I17-'合同排期'!H17+1),0)+IF(AND(9&gt;='合同排期'!J17,9&lt;'合同排期'!J17+12),'合同排期'!O17,0)+M108*'假设'!D47</x:f>
        <x:v>0</x:v>
      </x:c>
      <x:c r="N110" s="8" t="n">
        <x:f>IF(AND(10&gt;='合同排期'!H17,10&lt;='合同排期'!I17),'合同排期'!N17/('合同排期'!I17-'合同排期'!H17+1),0)+IF(AND(10&gt;='合同排期'!J17,10&lt;'合同排期'!J17+12),'合同排期'!O17,0)+N108*'假设'!D47</x:f>
        <x:v>0</x:v>
      </x:c>
      <x:c r="O110" s="8" t="n">
        <x:f>IF(AND(11&gt;='合同排期'!H17,11&lt;='合同排期'!I17),'合同排期'!N17/('合同排期'!I17-'合同排期'!H17+1),0)+IF(AND(11&gt;='合同排期'!J17,11&lt;'合同排期'!J17+12),'合同排期'!O17,0)+O108*'假设'!D47</x:f>
        <x:v>0</x:v>
      </x:c>
      <x:c r="P110" s="8" t="n">
        <x:f>IF(AND(12&gt;='合同排期'!H17,12&lt;='合同排期'!I17),'合同排期'!N17/('合同排期'!I17-'合同排期'!H17+1),0)+IF(AND(12&gt;='合同排期'!J17,12&lt;'合同排期'!J17+12),'合同排期'!O17,0)+P108*'假设'!D47</x:f>
        <x:v>0</x:v>
      </x:c>
      <x:c r="Q110" s="8" t="n">
        <x:f>IF(AND(13&gt;='合同排期'!H17,13&lt;='合同排期'!I17),'合同排期'!N17/('合同排期'!I17-'合同排期'!H17+1),0)+IF(AND(13&gt;='合同排期'!J17,13&lt;'合同排期'!J17+12),'合同排期'!O17,0)+Q108*'假设'!D47</x:f>
        <x:v>0</x:v>
      </x:c>
      <x:c r="R110" s="8" t="n">
        <x:f>IF(AND(14&gt;='合同排期'!H17,14&lt;='合同排期'!I17),'合同排期'!N17/('合同排期'!I17-'合同排期'!H17+1),0)+IF(AND(14&gt;='合同排期'!J17,14&lt;'合同排期'!J17+12),'合同排期'!O17,0)+R108*'假设'!D47</x:f>
        <x:v>0</x:v>
      </x:c>
      <x:c r="S110" s="8" t="n">
        <x:f>IF(AND(15&gt;='合同排期'!H17,15&lt;='合同排期'!I17),'合同排期'!N17/('合同排期'!I17-'合同排期'!H17+1),0)+IF(AND(15&gt;='合同排期'!J17,15&lt;'合同排期'!J17+12),'合同排期'!O17,0)+S108*'假设'!D47</x:f>
        <x:v>0</x:v>
      </x:c>
      <x:c r="T110" s="8" t="n">
        <x:f>IF(AND(16&gt;='合同排期'!H17,16&lt;='合同排期'!I17),'合同排期'!N17/('合同排期'!I17-'合同排期'!H17+1),0)+IF(AND(16&gt;='合同排期'!J17,16&lt;'合同排期'!J17+12),'合同排期'!O17,0)+T108*'假设'!D47</x:f>
        <x:v>0</x:v>
      </x:c>
      <x:c r="U110" s="8" t="n">
        <x:f>IF(AND(17&gt;='合同排期'!H17,17&lt;='合同排期'!I17),'合同排期'!N17/('合同排期'!I17-'合同排期'!H17+1),0)+IF(AND(17&gt;='合同排期'!J17,17&lt;'合同排期'!J17+12),'合同排期'!O17,0)+U108*'假设'!D47</x:f>
        <x:v>0</x:v>
      </x:c>
      <x:c r="V110" s="8" t="n">
        <x:f>IF(AND(18&gt;='合同排期'!H17,18&lt;='合同排期'!I17),'合同排期'!N17/('合同排期'!I17-'合同排期'!H17+1),0)+IF(AND(18&gt;='合同排期'!J17,18&lt;'合同排期'!J17+12),'合同排期'!O17,0)+V108*'假设'!D47</x:f>
        <x:v>0</x:v>
      </x:c>
      <x:c r="W110" s="8" t="n">
        <x:f>IF(AND(19&gt;='合同排期'!H17,19&lt;='合同排期'!I17),'合同排期'!N17/('合同排期'!I17-'合同排期'!H17+1),0)+IF(AND(19&gt;='合同排期'!J17,19&lt;'合同排期'!J17+12),'合同排期'!O17,0)+W108*'假设'!D47</x:f>
        <x:v>0</x:v>
      </x:c>
      <x:c r="X110" s="8" t="n">
        <x:f>IF(AND(20&gt;='合同排期'!H17,20&lt;='合同排期'!I17),'合同排期'!N17/('合同排期'!I17-'合同排期'!H17+1),0)+IF(AND(20&gt;='合同排期'!J17,20&lt;'合同排期'!J17+12),'合同排期'!O17,0)+X108*'假设'!D47</x:f>
        <x:v>0</x:v>
      </x:c>
      <x:c r="Y110" s="8" t="n">
        <x:f>IF(AND(21&gt;='合同排期'!H17,21&lt;='合同排期'!I17),'合同排期'!N17/('合同排期'!I17-'合同排期'!H17+1),0)+IF(AND(21&gt;='合同排期'!J17,21&lt;'合同排期'!J17+12),'合同排期'!O17,0)+Y108*'假设'!D47</x:f>
        <x:v>0</x:v>
      </x:c>
      <x:c r="Z110" s="8" t="n">
        <x:f>IF(AND(22&gt;='合同排期'!H17,22&lt;='合同排期'!I17),'合同排期'!N17/('合同排期'!I17-'合同排期'!H17+1),0)+IF(AND(22&gt;='合同排期'!J17,22&lt;'合同排期'!J17+12),'合同排期'!O17,0)+Z108*'假设'!D47</x:f>
        <x:v>0</x:v>
      </x:c>
      <x:c r="AA110" s="8" t="n">
        <x:f>IF(AND(23&gt;='合同排期'!H17,23&lt;='合同排期'!I17),'合同排期'!N17/('合同排期'!I17-'合同排期'!H17+1),0)+IF(AND(23&gt;='合同排期'!J17,23&lt;'合同排期'!J17+12),'合同排期'!O17,0)+AA108*'假设'!D47</x:f>
        <x:v>0</x:v>
      </x:c>
      <x:c r="AB110" s="8" t="n">
        <x:f>IF(AND(24&gt;='合同排期'!H17,24&lt;='合同排期'!I17),'合同排期'!N17/('合同排期'!I17-'合同排期'!H17+1),0)+IF(AND(24&gt;='合同排期'!J17,24&lt;'合同排期'!J17+12),'合同排期'!O17,0)+AB108*'假设'!D47</x:f>
        <x:v>0</x:v>
      </x:c>
    </x:row>
    <x:row r="111" ht="23" customHeight="1">
      <x:c r="A111" s="1"/>
      <x:c r="B111" s="1"/>
      <x:c r="C111" s="1" t="str">
        <x:v>P12</x:v>
      </x:c>
      <x:c r="D111" s="1" t="str">
        <x:v>工程交付人月</x:v>
      </x:c>
      <x:c r="E111" s="8" t="n">
        <x:f>IF(AND(1&gt;='合同排期'!H17,1&lt;='合同排期'!I17),'合同排期'!M17/('合同排期'!I17-'合同排期'!H17+1),0)</x:f>
        <x:v>0</x:v>
      </x:c>
      <x:c r="F111" s="8" t="n">
        <x:f>IF(AND(2&gt;='合同排期'!H17,2&lt;='合同排期'!I17),'合同排期'!M17/('合同排期'!I17-'合同排期'!H17+1),0)</x:f>
        <x:v>0</x:v>
      </x:c>
      <x:c r="G111" s="8" t="n">
        <x:f>IF(AND(3&gt;='合同排期'!H17,3&lt;='合同排期'!I17),'合同排期'!M17/('合同排期'!I17-'合同排期'!H17+1),0)</x:f>
        <x:v>0</x:v>
      </x:c>
      <x:c r="H111" s="8" t="n">
        <x:f>IF(AND(4&gt;='合同排期'!H17,4&lt;='合同排期'!I17),'合同排期'!M17/('合同排期'!I17-'合同排期'!H17+1),0)</x:f>
        <x:v>0</x:v>
      </x:c>
      <x:c r="I111" s="8" t="n">
        <x:f>IF(AND(5&gt;='合同排期'!H17,5&lt;='合同排期'!I17),'合同排期'!M17/('合同排期'!I17-'合同排期'!H17+1),0)</x:f>
        <x:v>0</x:v>
      </x:c>
      <x:c r="J111" s="8" t="n">
        <x:f>IF(AND(6&gt;='合同排期'!H17,6&lt;='合同排期'!I17),'合同排期'!M17/('合同排期'!I17-'合同排期'!H17+1),0)</x:f>
        <x:v>0</x:v>
      </x:c>
      <x:c r="K111" s="8" t="n">
        <x:f>IF(AND(7&gt;='合同排期'!H17,7&lt;='合同排期'!I17),'合同排期'!M17/('合同排期'!I17-'合同排期'!H17+1),0)</x:f>
        <x:v>0</x:v>
      </x:c>
      <x:c r="L111" s="8" t="n">
        <x:f>IF(AND(8&gt;='合同排期'!H17,8&lt;='合同排期'!I17),'合同排期'!M17/('合同排期'!I17-'合同排期'!H17+1),0)</x:f>
        <x:v>0</x:v>
      </x:c>
      <x:c r="M111" s="8" t="n">
        <x:f>IF(AND(9&gt;='合同排期'!H17,9&lt;='合同排期'!I17),'合同排期'!M17/('合同排期'!I17-'合同排期'!H17+1),0)</x:f>
        <x:v>0</x:v>
      </x:c>
      <x:c r="N111" s="8" t="n">
        <x:f>IF(AND(10&gt;='合同排期'!H17,10&lt;='合同排期'!I17),'合同排期'!M17/('合同排期'!I17-'合同排期'!H17+1),0)</x:f>
        <x:v>0</x:v>
      </x:c>
      <x:c r="O111" s="8" t="n">
        <x:f>IF(AND(11&gt;='合同排期'!H17,11&lt;='合同排期'!I17),'合同排期'!M17/('合同排期'!I17-'合同排期'!H17+1),0)</x:f>
        <x:v>0</x:v>
      </x:c>
      <x:c r="P111" s="8" t="n">
        <x:f>IF(AND(12&gt;='合同排期'!H17,12&lt;='合同排期'!I17),'合同排期'!M17/('合同排期'!I17-'合同排期'!H17+1),0)</x:f>
        <x:v>0</x:v>
      </x:c>
      <x:c r="Q111" s="8" t="n">
        <x:f>IF(AND(13&gt;='合同排期'!H17,13&lt;='合同排期'!I17),'合同排期'!M17/('合同排期'!I17-'合同排期'!H17+1),0)</x:f>
        <x:v>0</x:v>
      </x:c>
      <x:c r="R111" s="8" t="n">
        <x:f>IF(AND(14&gt;='合同排期'!H17,14&lt;='合同排期'!I17),'合同排期'!M17/('合同排期'!I17-'合同排期'!H17+1),0)</x:f>
        <x:v>0</x:v>
      </x:c>
      <x:c r="S111" s="8" t="n">
        <x:f>IF(AND(15&gt;='合同排期'!H17,15&lt;='合同排期'!I17),'合同排期'!M17/('合同排期'!I17-'合同排期'!H17+1),0)</x:f>
        <x:v>0</x:v>
      </x:c>
      <x:c r="T111" s="8" t="n">
        <x:f>IF(AND(16&gt;='合同排期'!H17,16&lt;='合同排期'!I17),'合同排期'!M17/('合同排期'!I17-'合同排期'!H17+1),0)</x:f>
        <x:v>0</x:v>
      </x:c>
      <x:c r="U111" s="8" t="n">
        <x:f>IF(AND(17&gt;='合同排期'!H17,17&lt;='合同排期'!I17),'合同排期'!M17/('合同排期'!I17-'合同排期'!H17+1),0)</x:f>
        <x:v>0</x:v>
      </x:c>
      <x:c r="V111" s="8" t="n">
        <x:f>IF(AND(18&gt;='合同排期'!H17,18&lt;='合同排期'!I17),'合同排期'!M17/('合同排期'!I17-'合同排期'!H17+1),0)</x:f>
        <x:v>0</x:v>
      </x:c>
      <x:c r="W111" s="8" t="n">
        <x:f>IF(AND(19&gt;='合同排期'!H17,19&lt;='合同排期'!I17),'合同排期'!M17/('合同排期'!I17-'合同排期'!H17+1),0)</x:f>
        <x:v>0</x:v>
      </x:c>
      <x:c r="X111" s="8" t="n">
        <x:f>IF(AND(20&gt;='合同排期'!H17,20&lt;='合同排期'!I17),'合同排期'!M17/('合同排期'!I17-'合同排期'!H17+1),0)</x:f>
        <x:v>0</x:v>
      </x:c>
      <x:c r="Y111" s="8" t="n">
        <x:f>IF(AND(21&gt;='合同排期'!H17,21&lt;='合同排期'!I17),'合同排期'!M17/('合同排期'!I17-'合同排期'!H17+1),0)</x:f>
        <x:v>0</x:v>
      </x:c>
      <x:c r="Z111" s="8" t="n">
        <x:f>IF(AND(22&gt;='合同排期'!H17,22&lt;='合同排期'!I17),'合同排期'!M17/('合同排期'!I17-'合同排期'!H17+1),0)</x:f>
        <x:v>0</x:v>
      </x:c>
      <x:c r="AA111" s="8" t="n">
        <x:f>IF(AND(23&gt;='合同排期'!H17,23&lt;='合同排期'!I17),'合同排期'!M17/('合同排期'!I17-'合同排期'!H17+1),0)</x:f>
        <x:v>0</x:v>
      </x:c>
      <x:c r="AB111" s="8" t="n">
        <x:f>IF(AND(24&gt;='合同排期'!H17,24&lt;='合同排期'!I17),'合同排期'!M17/('合同排期'!I17-'合同排期'!H17+1),0)</x:f>
        <x:v>0</x:v>
      </x:c>
    </x:row>
    <x:row r="112" ht="23" customHeight="1">
      <x:c r="A112" s="1"/>
      <x:c r="B112" s="1"/>
      <x:c r="C112" s="1" t="str">
        <x:v>P12</x:v>
      </x:c>
      <x:c r="D112" s="1" t="str">
        <x:v>生效ARR</x:v>
      </x:c>
      <x:c r="E112" s="8" t="n">
        <x:f>IF(AND(1&gt;='合同排期'!J17,1&lt;'合同排期'!J17+12),'合同排期'!L17,0)</x:f>
        <x:v>0</x:v>
      </x:c>
      <x:c r="F112" s="8" t="n">
        <x:f>IF(AND(2&gt;='合同排期'!J17,2&lt;'合同排期'!J17+12),'合同排期'!L17,0)</x:f>
        <x:v>0</x:v>
      </x:c>
      <x:c r="G112" s="8" t="n">
        <x:f>IF(AND(3&gt;='合同排期'!J17,3&lt;'合同排期'!J17+12),'合同排期'!L17,0)</x:f>
        <x:v>0</x:v>
      </x:c>
      <x:c r="H112" s="8" t="n">
        <x:f>IF(AND(4&gt;='合同排期'!J17,4&lt;'合同排期'!J17+12),'合同排期'!L17,0)</x:f>
        <x:v>0</x:v>
      </x:c>
      <x:c r="I112" s="8" t="n">
        <x:f>IF(AND(5&gt;='合同排期'!J17,5&lt;'合同排期'!J17+12),'合同排期'!L17,0)</x:f>
        <x:v>0</x:v>
      </x:c>
      <x:c r="J112" s="8" t="n">
        <x:f>IF(AND(6&gt;='合同排期'!J17,6&lt;'合同排期'!J17+12),'合同排期'!L17,0)</x:f>
        <x:v>0</x:v>
      </x:c>
      <x:c r="K112" s="8" t="n">
        <x:f>IF(AND(7&gt;='合同排期'!J17,7&lt;'合同排期'!J17+12),'合同排期'!L17,0)</x:f>
        <x:v>0</x:v>
      </x:c>
      <x:c r="L112" s="8" t="n">
        <x:f>IF(AND(8&gt;='合同排期'!J17,8&lt;'合同排期'!J17+12),'合同排期'!L17,0)</x:f>
        <x:v>0</x:v>
      </x:c>
      <x:c r="M112" s="8" t="n">
        <x:f>IF(AND(9&gt;='合同排期'!J17,9&lt;'合同排期'!J17+12),'合同排期'!L17,0)</x:f>
        <x:v>0</x:v>
      </x:c>
      <x:c r="N112" s="8" t="n">
        <x:f>IF(AND(10&gt;='合同排期'!J17,10&lt;'合同排期'!J17+12),'合同排期'!L17,0)</x:f>
        <x:v>0</x:v>
      </x:c>
      <x:c r="O112" s="8" t="n">
        <x:f>IF(AND(11&gt;='合同排期'!J17,11&lt;'合同排期'!J17+12),'合同排期'!L17,0)</x:f>
        <x:v>0</x:v>
      </x:c>
      <x:c r="P112" s="8" t="n">
        <x:f>IF(AND(12&gt;='合同排期'!J17,12&lt;'合同排期'!J17+12),'合同排期'!L17,0)</x:f>
        <x:v>0</x:v>
      </x:c>
      <x:c r="Q112" s="8" t="n">
        <x:f>IF(AND(13&gt;='合同排期'!J17,13&lt;'合同排期'!J17+12),'合同排期'!L17,0)</x:f>
        <x:v>0</x:v>
      </x:c>
      <x:c r="R112" s="8" t="n">
        <x:f>IF(AND(14&gt;='合同排期'!J17,14&lt;'合同排期'!J17+12),'合同排期'!L17,0)</x:f>
        <x:v>0</x:v>
      </x:c>
      <x:c r="S112" s="8" t="n">
        <x:f>IF(AND(15&gt;='合同排期'!J17,15&lt;'合同排期'!J17+12),'合同排期'!L17,0)</x:f>
        <x:v>0</x:v>
      </x:c>
      <x:c r="T112" s="8" t="n">
        <x:f>IF(AND(16&gt;='合同排期'!J17,16&lt;'合同排期'!J17+12),'合同排期'!L17,0)</x:f>
        <x:v>0</x:v>
      </x:c>
      <x:c r="U112" s="8" t="n">
        <x:f>IF(AND(17&gt;='合同排期'!J17,17&lt;'合同排期'!J17+12),'合同排期'!L17,0)</x:f>
        <x:v>0</x:v>
      </x:c>
      <x:c r="V112" s="8" t="n">
        <x:f>IF(AND(18&gt;='合同排期'!J17,18&lt;'合同排期'!J17+12),'合同排期'!L17,0)</x:f>
        <x:v>0</x:v>
      </x:c>
      <x:c r="W112" s="8" t="n">
        <x:f>IF(AND(19&gt;='合同排期'!J17,19&lt;'合同排期'!J17+12),'合同排期'!L17,0)</x:f>
        <x:v>0</x:v>
      </x:c>
      <x:c r="X112" s="8" t="n">
        <x:f>IF(AND(20&gt;='合同排期'!J17,20&lt;'合同排期'!J17+12),'合同排期'!L17,0)</x:f>
        <x:v>0</x:v>
      </x:c>
      <x:c r="Y112" s="8" t="n">
        <x:f>IF(AND(21&gt;='合同排期'!J17,21&lt;'合同排期'!J17+12),'合同排期'!L17,0)</x:f>
        <x:v>0</x:v>
      </x:c>
      <x:c r="Z112" s="8" t="n">
        <x:f>IF(AND(22&gt;='合同排期'!J17,22&lt;'合同排期'!J17+12),'合同排期'!L17,0)</x:f>
        <x:v>0</x:v>
      </x:c>
      <x:c r="AA112" s="8" t="n">
        <x:f>IF(AND(23&gt;='合同排期'!J17,23&lt;'合同排期'!J17+12),'合同排期'!L17,0)</x:f>
        <x:v>0</x:v>
      </x:c>
      <x:c r="AB112" s="8" t="n">
        <x:f>IF(AND(24&gt;='合同排期'!J17,24&lt;'合同排期'!J17+12),'合同排期'!L17,0)</x:f>
        <x:v>0</x:v>
      </x:c>
    </x:row>
    <x:row r="113" ht="23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  <x:c r="AA113" s="1"/>
      <x:c r="AB113" s="1"/>
    </x:row>
    <x:row r="114" ht="23" customHeight="1">
      <x:c r="A114" s="1"/>
      <x:c r="B114" s="1"/>
      <x:c r="C114" s="1" t="str">
        <x:v>E01</x:v>
      </x:c>
      <x:c r="D114" s="1" t="str">
        <x:v>净签约</x:v>
      </x:c>
      <x:c r="E114" s="8" t="n">
        <x:f>IF(1='合同排期'!H18,'合同排期'!K18+'合同排期'!L18,0)</x:f>
        <x:v>0</x:v>
      </x:c>
      <x:c r="F114" s="8" t="n">
        <x:f>IF(2='合同排期'!H18,'合同排期'!K18+'合同排期'!L18,0)</x:f>
        <x:v>0</x:v>
      </x:c>
      <x:c r="G114" s="8" t="n">
        <x:f>IF(3='合同排期'!H18,'合同排期'!K18+'合同排期'!L18,0)</x:f>
        <x:v>0</x:v>
      </x:c>
      <x:c r="H114" s="8" t="n">
        <x:f>IF(4='合同排期'!H18,'合同排期'!K18+'合同排期'!L18,0)</x:f>
        <x:v>0</x:v>
      </x:c>
      <x:c r="I114" s="8" t="n">
        <x:f>IF(5='合同排期'!H18,'合同排期'!K18+'合同排期'!L18,0)</x:f>
        <x:v>0</x:v>
      </x:c>
      <x:c r="J114" s="8" t="n">
        <x:f>IF(6='合同排期'!H18,'合同排期'!K18+'合同排期'!L18,0)</x:f>
        <x:v>67</x:v>
      </x:c>
      <x:c r="K114" s="8" t="n">
        <x:f>IF(7='合同排期'!H18,'合同排期'!K18+'合同排期'!L18,0)</x:f>
        <x:v>0</x:v>
      </x:c>
      <x:c r="L114" s="8" t="n">
        <x:f>IF(8='合同排期'!H18,'合同排期'!K18+'合同排期'!L18,0)</x:f>
        <x:v>0</x:v>
      </x:c>
      <x:c r="M114" s="8" t="n">
        <x:f>IF(9='合同排期'!H18,'合同排期'!K18+'合同排期'!L18,0)</x:f>
        <x:v>0</x:v>
      </x:c>
      <x:c r="N114" s="8" t="n">
        <x:f>IF(10='合同排期'!H18,'合同排期'!K18+'合同排期'!L18,0)</x:f>
        <x:v>0</x:v>
      </x:c>
      <x:c r="O114" s="8" t="n">
        <x:f>IF(11='合同排期'!H18,'合同排期'!K18+'合同排期'!L18,0)</x:f>
        <x:v>0</x:v>
      </x:c>
      <x:c r="P114" s="8" t="n">
        <x:f>IF(12='合同排期'!H18,'合同排期'!K18+'合同排期'!L18,0)</x:f>
        <x:v>0</x:v>
      </x:c>
      <x:c r="Q114" s="8" t="n">
        <x:f>IF(13='合同排期'!H18,'合同排期'!K18+'合同排期'!L18,0)</x:f>
        <x:v>0</x:v>
      </x:c>
      <x:c r="R114" s="8" t="n">
        <x:f>IF(14='合同排期'!H18,'合同排期'!K18+'合同排期'!L18,0)</x:f>
        <x:v>0</x:v>
      </x:c>
      <x:c r="S114" s="8" t="n">
        <x:f>IF(15='合同排期'!H18,'合同排期'!K18+'合同排期'!L18,0)</x:f>
        <x:v>0</x:v>
      </x:c>
      <x:c r="T114" s="8" t="n">
        <x:f>IF(16='合同排期'!H18,'合同排期'!K18+'合同排期'!L18,0)</x:f>
        <x:v>0</x:v>
      </x:c>
      <x:c r="U114" s="8" t="n">
        <x:f>IF(17='合同排期'!H18,'合同排期'!K18+'合同排期'!L18,0)</x:f>
        <x:v>0</x:v>
      </x:c>
      <x:c r="V114" s="8" t="n">
        <x:f>IF(18='合同排期'!H18,'合同排期'!K18+'合同排期'!L18,0)</x:f>
        <x:v>0</x:v>
      </x:c>
      <x:c r="W114" s="8" t="n">
        <x:f>IF(19='合同排期'!H18,'合同排期'!K18+'合同排期'!L18,0)</x:f>
        <x:v>0</x:v>
      </x:c>
      <x:c r="X114" s="8" t="n">
        <x:f>IF(20='合同排期'!H18,'合同排期'!K18+'合同排期'!L18,0)</x:f>
        <x:v>0</x:v>
      </x:c>
      <x:c r="Y114" s="8" t="n">
        <x:f>IF(21='合同排期'!H18,'合同排期'!K18+'合同排期'!L18,0)</x:f>
        <x:v>0</x:v>
      </x:c>
      <x:c r="Z114" s="8" t="n">
        <x:f>IF(22='合同排期'!H18,'合同排期'!K18+'合同排期'!L18,0)</x:f>
        <x:v>0</x:v>
      </x:c>
      <x:c r="AA114" s="8" t="n">
        <x:f>IF(23='合同排期'!H18,'合同排期'!K18+'合同排期'!L18,0)</x:f>
        <x:v>0</x:v>
      </x:c>
      <x:c r="AB114" s="8" t="n">
        <x:f>IF(24='合同排期'!H18,'合同排期'!K18+'合同排期'!L18,0)</x:f>
        <x:v>0</x:v>
      </x:c>
    </x:row>
    <x:row r="115" ht="23" customHeight="1">
      <x:c r="A115" s="1"/>
      <x:c r="B115" s="1"/>
      <x:c r="C115" s="1" t="str">
        <x:v>E01</x:v>
      </x:c>
      <x:c r="D115" s="1" t="str">
        <x:v>确认收入</x:v>
      </x:c>
      <x:c r="E115" s="8" t="n">
        <x:f>IF(1='合同排期'!I18,'合同排期'!K18,0)+IF(AND(1&gt;='合同排期'!J18,1&lt;'合同排期'!J18+12),'合同排期'!L18/12,0)</x:f>
        <x:v>0</x:v>
      </x:c>
      <x:c r="F115" s="8" t="n">
        <x:f>IF(2='合同排期'!I18,'合同排期'!K18,0)+IF(AND(2&gt;='合同排期'!J18,2&lt;'合同排期'!J18+12),'合同排期'!L18/12,0)</x:f>
        <x:v>0</x:v>
      </x:c>
      <x:c r="G115" s="8" t="n">
        <x:f>IF(3='合同排期'!I18,'合同排期'!K18,0)+IF(AND(3&gt;='合同排期'!J18,3&lt;'合同排期'!J18+12),'合同排期'!L18/12,0)</x:f>
        <x:v>0</x:v>
      </x:c>
      <x:c r="H115" s="8" t="n">
        <x:f>IF(4='合同排期'!I18,'合同排期'!K18,0)+IF(AND(4&gt;='合同排期'!J18,4&lt;'合同排期'!J18+12),'合同排期'!L18/12,0)</x:f>
        <x:v>0</x:v>
      </x:c>
      <x:c r="I115" s="8" t="n">
        <x:f>IF(5='合同排期'!I18,'合同排期'!K18,0)+IF(AND(5&gt;='合同排期'!J18,5&lt;'合同排期'!J18+12),'合同排期'!L18/12,0)</x:f>
        <x:v>0</x:v>
      </x:c>
      <x:c r="J115" s="8" t="n">
        <x:f>IF(6='合同排期'!I18,'合同排期'!K18,0)+IF(AND(6&gt;='合同排期'!J18,6&lt;'合同排期'!J18+12),'合同排期'!L18/12,0)</x:f>
        <x:v>0</x:v>
      </x:c>
      <x:c r="K115" s="8" t="n">
        <x:f>IF(7='合同排期'!I18,'合同排期'!K18,0)+IF(AND(7&gt;='合同排期'!J18,7&lt;'合同排期'!J18+12),'合同排期'!L18/12,0)</x:f>
        <x:v>0</x:v>
      </x:c>
      <x:c r="L115" s="8" t="n">
        <x:f>IF(8='合同排期'!I18,'合同排期'!K18,0)+IF(AND(8&gt;='合同排期'!J18,8&lt;'合同排期'!J18+12),'合同排期'!L18/12,0)</x:f>
        <x:v>0</x:v>
      </x:c>
      <x:c r="M115" s="8" t="n">
        <x:f>IF(9='合同排期'!I18,'合同排期'!K18,0)+IF(AND(9&gt;='合同排期'!J18,9&lt;'合同排期'!J18+12),'合同排期'!L18/12,0)</x:f>
        <x:v>55</x:v>
      </x:c>
      <x:c r="N115" s="8" t="n">
        <x:f>IF(10='合同排期'!I18,'合同排期'!K18,0)+IF(AND(10&gt;='合同排期'!J18,10&lt;'合同排期'!J18+12),'合同排期'!L18/12,0)</x:f>
        <x:v>1</x:v>
      </x:c>
      <x:c r="O115" s="8" t="n">
        <x:f>IF(11='合同排期'!I18,'合同排期'!K18,0)+IF(AND(11&gt;='合同排期'!J18,11&lt;'合同排期'!J18+12),'合同排期'!L18/12,0)</x:f>
        <x:v>1</x:v>
      </x:c>
      <x:c r="P115" s="8" t="n">
        <x:f>IF(12='合同排期'!I18,'合同排期'!K18,0)+IF(AND(12&gt;='合同排期'!J18,12&lt;'合同排期'!J18+12),'合同排期'!L18/12,0)</x:f>
        <x:v>1</x:v>
      </x:c>
      <x:c r="Q115" s="8" t="n">
        <x:f>IF(13='合同排期'!I18,'合同排期'!K18,0)+IF(AND(13&gt;='合同排期'!J18,13&lt;'合同排期'!J18+12),'合同排期'!L18/12,0)</x:f>
        <x:v>1</x:v>
      </x:c>
      <x:c r="R115" s="8" t="n">
        <x:f>IF(14='合同排期'!I18,'合同排期'!K18,0)+IF(AND(14&gt;='合同排期'!J18,14&lt;'合同排期'!J18+12),'合同排期'!L18/12,0)</x:f>
        <x:v>1</x:v>
      </x:c>
      <x:c r="S115" s="8" t="n">
        <x:f>IF(15='合同排期'!I18,'合同排期'!K18,0)+IF(AND(15&gt;='合同排期'!J18,15&lt;'合同排期'!J18+12),'合同排期'!L18/12,0)</x:f>
        <x:v>1</x:v>
      </x:c>
      <x:c r="T115" s="8" t="n">
        <x:f>IF(16='合同排期'!I18,'合同排期'!K18,0)+IF(AND(16&gt;='合同排期'!J18,16&lt;'合同排期'!J18+12),'合同排期'!L18/12,0)</x:f>
        <x:v>1</x:v>
      </x:c>
      <x:c r="U115" s="8" t="n">
        <x:f>IF(17='合同排期'!I18,'合同排期'!K18,0)+IF(AND(17&gt;='合同排期'!J18,17&lt;'合同排期'!J18+12),'合同排期'!L18/12,0)</x:f>
        <x:v>1</x:v>
      </x:c>
      <x:c r="V115" s="8" t="n">
        <x:f>IF(18='合同排期'!I18,'合同排期'!K18,0)+IF(AND(18&gt;='合同排期'!J18,18&lt;'合同排期'!J18+12),'合同排期'!L18/12,0)</x:f>
        <x:v>1</x:v>
      </x:c>
      <x:c r="W115" s="8" t="n">
        <x:f>IF(19='合同排期'!I18,'合同排期'!K18,0)+IF(AND(19&gt;='合同排期'!J18,19&lt;'合同排期'!J18+12),'合同排期'!L18/12,0)</x:f>
        <x:v>1</x:v>
      </x:c>
      <x:c r="X115" s="8" t="n">
        <x:f>IF(20='合同排期'!I18,'合同排期'!K18,0)+IF(AND(20&gt;='合同排期'!J18,20&lt;'合同排期'!J18+12),'合同排期'!L18/12,0)</x:f>
        <x:v>1</x:v>
      </x:c>
      <x:c r="Y115" s="8" t="n">
        <x:f>IF(21='合同排期'!I18,'合同排期'!K18,0)+IF(AND(21&gt;='合同排期'!J18,21&lt;'合同排期'!J18+12),'合同排期'!L18/12,0)</x:f>
        <x:v>1</x:v>
      </x:c>
      <x:c r="Z115" s="8" t="n">
        <x:f>IF(22='合同排期'!I18,'合同排期'!K18,0)+IF(AND(22&gt;='合同排期'!J18,22&lt;'合同排期'!J18+12),'合同排期'!L18/12,0)</x:f>
        <x:v>0</x:v>
      </x:c>
      <x:c r="AA115" s="8" t="n">
        <x:f>IF(23='合同排期'!I18,'合同排期'!K18,0)+IF(AND(23&gt;='合同排期'!J18,23&lt;'合同排期'!J18+12),'合同排期'!L18/12,0)</x:f>
        <x:v>0</x:v>
      </x:c>
      <x:c r="AB115" s="8" t="n">
        <x:f>IF(24='合同排期'!I18,'合同排期'!K18,0)+IF(AND(24&gt;='合同排期'!J18,24&lt;'合同排期'!J18+12),'合同排期'!L18/12,0)</x:f>
        <x:v>0</x:v>
      </x:c>
    </x:row>
    <x:row r="116" ht="23" customHeight="1">
      <x:c r="A116" s="1"/>
      <x:c r="B116" s="1"/>
      <x:c r="C116" s="1" t="str">
        <x:v>E01</x:v>
      </x:c>
      <x:c r="D116" s="1" t="str">
        <x:v>开票</x:v>
      </x:c>
      <x:c r="E116" s="8" t="n">
        <x:f>IF(1='合同排期'!H18,'合同排期'!K18*'合同排期'!P18,0)+IF(1='合同排期'!S18,'合同排期'!K18*'合同排期'!Q18,0)+IF(1='合同排期'!I18,'合同排期'!K18*'合同排期'!R18,0)+IF(1='合同排期'!J18,'合同排期'!L18,0)</x:f>
        <x:v>0</x:v>
      </x:c>
      <x:c r="F116" s="8" t="n">
        <x:f>IF(2='合同排期'!H18,'合同排期'!K18*'合同排期'!P18,0)+IF(2='合同排期'!S18,'合同排期'!K18*'合同排期'!Q18,0)+IF(2='合同排期'!I18,'合同排期'!K18*'合同排期'!R18,0)+IF(2='合同排期'!J18,'合同排期'!L18,0)</x:f>
        <x:v>0</x:v>
      </x:c>
      <x:c r="G116" s="8" t="n">
        <x:f>IF(3='合同排期'!H18,'合同排期'!K18*'合同排期'!P18,0)+IF(3='合同排期'!S18,'合同排期'!K18*'合同排期'!Q18,0)+IF(3='合同排期'!I18,'合同排期'!K18*'合同排期'!R18,0)+IF(3='合同排期'!J18,'合同排期'!L18,0)</x:f>
        <x:v>0</x:v>
      </x:c>
      <x:c r="H116" s="8" t="n">
        <x:f>IF(4='合同排期'!H18,'合同排期'!K18*'合同排期'!P18,0)+IF(4='合同排期'!S18,'合同排期'!K18*'合同排期'!Q18,0)+IF(4='合同排期'!I18,'合同排期'!K18*'合同排期'!R18,0)+IF(4='合同排期'!J18,'合同排期'!L18,0)</x:f>
        <x:v>0</x:v>
      </x:c>
      <x:c r="I116" s="8" t="n">
        <x:f>IF(5='合同排期'!H18,'合同排期'!K18*'合同排期'!P18,0)+IF(5='合同排期'!S18,'合同排期'!K18*'合同排期'!Q18,0)+IF(5='合同排期'!I18,'合同排期'!K18*'合同排期'!R18,0)+IF(5='合同排期'!J18,'合同排期'!L18,0)</x:f>
        <x:v>0</x:v>
      </x:c>
      <x:c r="J116" s="8" t="n">
        <x:f>IF(6='合同排期'!H18,'合同排期'!K18*'合同排期'!P18,0)+IF(6='合同排期'!S18,'合同排期'!K18*'合同排期'!Q18,0)+IF(6='合同排期'!I18,'合同排期'!K18*'合同排期'!R18,0)+IF(6='合同排期'!J18,'合同排期'!L18,0)</x:f>
        <x:v>16.5</x:v>
      </x:c>
      <x:c r="K116" s="8" t="n">
        <x:f>IF(7='合同排期'!H18,'合同排期'!K18*'合同排期'!P18,0)+IF(7='合同排期'!S18,'合同排期'!K18*'合同排期'!Q18,0)+IF(7='合同排期'!I18,'合同排期'!K18*'合同排期'!R18,0)+IF(7='合同排期'!J18,'合同排期'!L18,0)</x:f>
        <x:v>0</x:v>
      </x:c>
      <x:c r="L116" s="8" t="n">
        <x:f>IF(8='合同排期'!H18,'合同排期'!K18*'合同排期'!P18,0)+IF(8='合同排期'!S18,'合同排期'!K18*'合同排期'!Q18,0)+IF(8='合同排期'!I18,'合同排期'!K18*'合同排期'!R18,0)+IF(8='合同排期'!J18,'合同排期'!L18,0)</x:f>
        <x:v>22</x:v>
      </x:c>
      <x:c r="M116" s="8" t="n">
        <x:f>IF(9='合同排期'!H18,'合同排期'!K18*'合同排期'!P18,0)+IF(9='合同排期'!S18,'合同排期'!K18*'合同排期'!Q18,0)+IF(9='合同排期'!I18,'合同排期'!K18*'合同排期'!R18,0)+IF(9='合同排期'!J18,'合同排期'!L18,0)</x:f>
        <x:v>16.5</x:v>
      </x:c>
      <x:c r="N116" s="8" t="n">
        <x:f>IF(10='合同排期'!H18,'合同排期'!K18*'合同排期'!P18,0)+IF(10='合同排期'!S18,'合同排期'!K18*'合同排期'!Q18,0)+IF(10='合同排期'!I18,'合同排期'!K18*'合同排期'!R18,0)+IF(10='合同排期'!J18,'合同排期'!L18,0)</x:f>
        <x:v>12</x:v>
      </x:c>
      <x:c r="O116" s="8" t="n">
        <x:f>IF(11='合同排期'!H18,'合同排期'!K18*'合同排期'!P18,0)+IF(11='合同排期'!S18,'合同排期'!K18*'合同排期'!Q18,0)+IF(11='合同排期'!I18,'合同排期'!K18*'合同排期'!R18,0)+IF(11='合同排期'!J18,'合同排期'!L18,0)</x:f>
        <x:v>0</x:v>
      </x:c>
      <x:c r="P116" s="8" t="n">
        <x:f>IF(12='合同排期'!H18,'合同排期'!K18*'合同排期'!P18,0)+IF(12='合同排期'!S18,'合同排期'!K18*'合同排期'!Q18,0)+IF(12='合同排期'!I18,'合同排期'!K18*'合同排期'!R18,0)+IF(12='合同排期'!J18,'合同排期'!L18,0)</x:f>
        <x:v>0</x:v>
      </x:c>
      <x:c r="Q116" s="8" t="n">
        <x:f>IF(13='合同排期'!H18,'合同排期'!K18*'合同排期'!P18,0)+IF(13='合同排期'!S18,'合同排期'!K18*'合同排期'!Q18,0)+IF(13='合同排期'!I18,'合同排期'!K18*'合同排期'!R18,0)+IF(13='合同排期'!J18,'合同排期'!L18,0)</x:f>
        <x:v>0</x:v>
      </x:c>
      <x:c r="R116" s="8" t="n">
        <x:f>IF(14='合同排期'!H18,'合同排期'!K18*'合同排期'!P18,0)+IF(14='合同排期'!S18,'合同排期'!K18*'合同排期'!Q18,0)+IF(14='合同排期'!I18,'合同排期'!K18*'合同排期'!R18,0)+IF(14='合同排期'!J18,'合同排期'!L18,0)</x:f>
        <x:v>0</x:v>
      </x:c>
      <x:c r="S116" s="8" t="n">
        <x:f>IF(15='合同排期'!H18,'合同排期'!K18*'合同排期'!P18,0)+IF(15='合同排期'!S18,'合同排期'!K18*'合同排期'!Q18,0)+IF(15='合同排期'!I18,'合同排期'!K18*'合同排期'!R18,0)+IF(15='合同排期'!J18,'合同排期'!L18,0)</x:f>
        <x:v>0</x:v>
      </x:c>
      <x:c r="T116" s="8" t="n">
        <x:f>IF(16='合同排期'!H18,'合同排期'!K18*'合同排期'!P18,0)+IF(16='合同排期'!S18,'合同排期'!K18*'合同排期'!Q18,0)+IF(16='合同排期'!I18,'合同排期'!K18*'合同排期'!R18,0)+IF(16='合同排期'!J18,'合同排期'!L18,0)</x:f>
        <x:v>0</x:v>
      </x:c>
      <x:c r="U116" s="8" t="n">
        <x:f>IF(17='合同排期'!H18,'合同排期'!K18*'合同排期'!P18,0)+IF(17='合同排期'!S18,'合同排期'!K18*'合同排期'!Q18,0)+IF(17='合同排期'!I18,'合同排期'!K18*'合同排期'!R18,0)+IF(17='合同排期'!J18,'合同排期'!L18,0)</x:f>
        <x:v>0</x:v>
      </x:c>
      <x:c r="V116" s="8" t="n">
        <x:f>IF(18='合同排期'!H18,'合同排期'!K18*'合同排期'!P18,0)+IF(18='合同排期'!S18,'合同排期'!K18*'合同排期'!Q18,0)+IF(18='合同排期'!I18,'合同排期'!K18*'合同排期'!R18,0)+IF(18='合同排期'!J18,'合同排期'!L18,0)</x:f>
        <x:v>0</x:v>
      </x:c>
      <x:c r="W116" s="8" t="n">
        <x:f>IF(19='合同排期'!H18,'合同排期'!K18*'合同排期'!P18,0)+IF(19='合同排期'!S18,'合同排期'!K18*'合同排期'!Q18,0)+IF(19='合同排期'!I18,'合同排期'!K18*'合同排期'!R18,0)+IF(19='合同排期'!J18,'合同排期'!L18,0)</x:f>
        <x:v>0</x:v>
      </x:c>
      <x:c r="X116" s="8" t="n">
        <x:f>IF(20='合同排期'!H18,'合同排期'!K18*'合同排期'!P18,0)+IF(20='合同排期'!S18,'合同排期'!K18*'合同排期'!Q18,0)+IF(20='合同排期'!I18,'合同排期'!K18*'合同排期'!R18,0)+IF(20='合同排期'!J18,'合同排期'!L18,0)</x:f>
        <x:v>0</x:v>
      </x:c>
      <x:c r="Y116" s="8" t="n">
        <x:f>IF(21='合同排期'!H18,'合同排期'!K18*'合同排期'!P18,0)+IF(21='合同排期'!S18,'合同排期'!K18*'合同排期'!Q18,0)+IF(21='合同排期'!I18,'合同排期'!K18*'合同排期'!R18,0)+IF(21='合同排期'!J18,'合同排期'!L18,0)</x:f>
        <x:v>0</x:v>
      </x:c>
      <x:c r="Z116" s="8" t="n">
        <x:f>IF(22='合同排期'!H18,'合同排期'!K18*'合同排期'!P18,0)+IF(22='合同排期'!S18,'合同排期'!K18*'合同排期'!Q18,0)+IF(22='合同排期'!I18,'合同排期'!K18*'合同排期'!R18,0)+IF(22='合同排期'!J18,'合同排期'!L18,0)</x:f>
        <x:v>0</x:v>
      </x:c>
      <x:c r="AA116" s="8" t="n">
        <x:f>IF(23='合同排期'!H18,'合同排期'!K18*'合同排期'!P18,0)+IF(23='合同排期'!S18,'合同排期'!K18*'合同排期'!Q18,0)+IF(23='合同排期'!I18,'合同排期'!K18*'合同排期'!R18,0)+IF(23='合同排期'!J18,'合同排期'!L18,0)</x:f>
        <x:v>0</x:v>
      </x:c>
      <x:c r="AB116" s="8" t="n">
        <x:f>IF(24='合同排期'!H18,'合同排期'!K18*'合同排期'!P18,0)+IF(24='合同排期'!S18,'合同排期'!K18*'合同排期'!Q18,0)+IF(24='合同排期'!I18,'合同排期'!K18*'合同排期'!R18,0)+IF(24='合同排期'!J18,'合同排期'!L18,0)</x:f>
        <x:v>0</x:v>
      </x:c>
    </x:row>
    <x:row r="117" ht="23" customHeight="1">
      <x:c r="A117" s="1"/>
      <x:c r="B117" s="1"/>
      <x:c r="C117" s="1" t="str">
        <x:v>E01</x:v>
      </x:c>
      <x:c r="D117" s="1" t="str">
        <x:v>回款</x:v>
      </x:c>
      <x:c r="E117" s="8" t="n">
        <x:f>IF(1&gt;'假设'!D27,INDEX($E116:$AB116,1,1-'假设'!D27),0)</x:f>
        <x:v>0</x:v>
      </x:c>
      <x:c r="F117" s="8" t="n">
        <x:f>IF(2&gt;'假设'!D27,INDEX($E116:$AB116,1,2-'假设'!D27),0)</x:f>
        <x:v>0</x:v>
      </x:c>
      <x:c r="G117" s="8" t="n">
        <x:f>IF(3&gt;'假设'!D27,INDEX($E116:$AB116,1,3-'假设'!D27),0)</x:f>
        <x:v>0</x:v>
      </x:c>
      <x:c r="H117" s="8" t="n">
        <x:f>IF(4&gt;'假设'!D27,INDEX($E116:$AB116,1,4-'假设'!D27),0)</x:f>
        <x:v>0</x:v>
      </x:c>
      <x:c r="I117" s="8" t="n">
        <x:f>IF(5&gt;'假设'!D27,INDEX($E116:$AB116,1,5-'假设'!D27),0)</x:f>
        <x:v>0</x:v>
      </x:c>
      <x:c r="J117" s="8" t="n">
        <x:f>IF(6&gt;'假设'!D27,INDEX($E116:$AB116,1,6-'假设'!D27),0)</x:f>
        <x:v>0</x:v>
      </x:c>
      <x:c r="K117" s="8" t="n">
        <x:f>IF(7&gt;'假设'!D27,INDEX($E116:$AB116,1,7-'假设'!D27),0)</x:f>
        <x:v>16.5</x:v>
      </x:c>
      <x:c r="L117" s="8" t="n">
        <x:f>IF(8&gt;'假设'!D27,INDEX($E116:$AB116,1,8-'假设'!D27),0)</x:f>
        <x:v>0</x:v>
      </x:c>
      <x:c r="M117" s="8" t="n">
        <x:f>IF(9&gt;'假设'!D27,INDEX($E116:$AB116,1,9-'假设'!D27),0)</x:f>
        <x:v>22</x:v>
      </x:c>
      <x:c r="N117" s="8" t="n">
        <x:f>IF(10&gt;'假设'!D27,INDEX($E116:$AB116,1,10-'假设'!D27),0)</x:f>
        <x:v>16.5</x:v>
      </x:c>
      <x:c r="O117" s="8" t="n">
        <x:f>IF(11&gt;'假设'!D27,INDEX($E116:$AB116,1,11-'假设'!D27),0)</x:f>
        <x:v>12</x:v>
      </x:c>
      <x:c r="P117" s="8" t="n">
        <x:f>IF(12&gt;'假设'!D27,INDEX($E116:$AB116,1,12-'假设'!D27),0)</x:f>
        <x:v>0</x:v>
      </x:c>
      <x:c r="Q117" s="8" t="n">
        <x:f>IF(13&gt;'假设'!D27,INDEX($E116:$AB116,1,13-'假设'!D27),0)</x:f>
        <x:v>0</x:v>
      </x:c>
      <x:c r="R117" s="8" t="n">
        <x:f>IF(14&gt;'假设'!D27,INDEX($E116:$AB116,1,14-'假设'!D27),0)</x:f>
        <x:v>0</x:v>
      </x:c>
      <x:c r="S117" s="8" t="n">
        <x:f>IF(15&gt;'假设'!D27,INDEX($E116:$AB116,1,15-'假设'!D27),0)</x:f>
        <x:v>0</x:v>
      </x:c>
      <x:c r="T117" s="8" t="n">
        <x:f>IF(16&gt;'假设'!D27,INDEX($E116:$AB116,1,16-'假设'!D27),0)</x:f>
        <x:v>0</x:v>
      </x:c>
      <x:c r="U117" s="8" t="n">
        <x:f>IF(17&gt;'假设'!D27,INDEX($E116:$AB116,1,17-'假设'!D27),0)</x:f>
        <x:v>0</x:v>
      </x:c>
      <x:c r="V117" s="8" t="n">
        <x:f>IF(18&gt;'假设'!D27,INDEX($E116:$AB116,1,18-'假设'!D27),0)</x:f>
        <x:v>0</x:v>
      </x:c>
      <x:c r="W117" s="8" t="n">
        <x:f>IF(19&gt;'假设'!D27,INDEX($E116:$AB116,1,19-'假设'!D27),0)</x:f>
        <x:v>0</x:v>
      </x:c>
      <x:c r="X117" s="8" t="n">
        <x:f>IF(20&gt;'假设'!D27,INDEX($E116:$AB116,1,20-'假设'!D27),0)</x:f>
        <x:v>0</x:v>
      </x:c>
      <x:c r="Y117" s="8" t="n">
        <x:f>IF(21&gt;'假设'!D27,INDEX($E116:$AB116,1,21-'假设'!D27),0)</x:f>
        <x:v>0</x:v>
      </x:c>
      <x:c r="Z117" s="8" t="n">
        <x:f>IF(22&gt;'假设'!D27,INDEX($E116:$AB116,1,22-'假设'!D27),0)</x:f>
        <x:v>0</x:v>
      </x:c>
      <x:c r="AA117" s="8" t="n">
        <x:f>IF(23&gt;'假设'!D27,INDEX($E116:$AB116,1,23-'假设'!D27),0)</x:f>
        <x:v>0</x:v>
      </x:c>
      <x:c r="AB117" s="8" t="n">
        <x:f>IF(24&gt;'假设'!D27,INDEX($E116:$AB116,1,24-'假设'!D27),0)</x:f>
        <x:v>0</x:v>
      </x:c>
    </x:row>
    <x:row r="118" ht="23" customHeight="1">
      <x:c r="A118" s="1"/>
      <x:c r="B118" s="1"/>
      <x:c r="C118" s="1" t="str">
        <x:v>E01</x:v>
      </x:c>
      <x:c r="D118" s="1" t="str">
        <x:v>直接损益成本</x:v>
      </x:c>
      <x:c r="E118" s="8" t="n">
        <x:f>IF(1='合同排期'!I18,'合同排期'!N18,0)+IF(AND(1&gt;='合同排期'!J18,1&lt;'合同排期'!J18+12),'合同排期'!O18,0)+E114*'假设'!D47</x:f>
        <x:v>0</x:v>
      </x:c>
      <x:c r="F118" s="8" t="n">
        <x:f>IF(2='合同排期'!I18,'合同排期'!N18,0)+IF(AND(2&gt;='合同排期'!J18,2&lt;'合同排期'!J18+12),'合同排期'!O18,0)+F114*'假设'!D47</x:f>
        <x:v>0</x:v>
      </x:c>
      <x:c r="G118" s="8" t="n">
        <x:f>IF(3='合同排期'!I18,'合同排期'!N18,0)+IF(AND(3&gt;='合同排期'!J18,3&lt;'合同排期'!J18+12),'合同排期'!O18,0)+G114*'假设'!D47</x:f>
        <x:v>0</x:v>
      </x:c>
      <x:c r="H118" s="8" t="n">
        <x:f>IF(4='合同排期'!I18,'合同排期'!N18,0)+IF(AND(4&gt;='合同排期'!J18,4&lt;'合同排期'!J18+12),'合同排期'!O18,0)+H114*'假设'!D47</x:f>
        <x:v>0</x:v>
      </x:c>
      <x:c r="I118" s="8" t="n">
        <x:f>IF(5='合同排期'!I18,'合同排期'!N18,0)+IF(AND(5&gt;='合同排期'!J18,5&lt;'合同排期'!J18+12),'合同排期'!O18,0)+I114*'假设'!D47</x:f>
        <x:v>0</x:v>
      </x:c>
      <x:c r="J118" s="8" t="n">
        <x:f>IF(6='合同排期'!I18,'合同排期'!N18,0)+IF(AND(6&gt;='合同排期'!J18,6&lt;'合同排期'!J18+12),'合同排期'!O18,0)+J114*'假设'!D47</x:f>
        <x:v>3.35</x:v>
      </x:c>
      <x:c r="K118" s="8" t="n">
        <x:f>IF(7='合同排期'!I18,'合同排期'!N18,0)+IF(AND(7&gt;='合同排期'!J18,7&lt;'合同排期'!J18+12),'合同排期'!O18,0)+K114*'假设'!D47</x:f>
        <x:v>0</x:v>
      </x:c>
      <x:c r="L118" s="8" t="n">
        <x:f>IF(8='合同排期'!I18,'合同排期'!N18,0)+IF(AND(8&gt;='合同排期'!J18,8&lt;'合同排期'!J18+12),'合同排期'!O18,0)+L114*'假设'!D47</x:f>
        <x:v>0</x:v>
      </x:c>
      <x:c r="M118" s="8" t="n">
        <x:f>IF(9='合同排期'!I18,'合同排期'!N18,0)+IF(AND(9&gt;='合同排期'!J18,9&lt;'合同排期'!J18+12),'合同排期'!O18,0)+M114*'假设'!D47</x:f>
        <x:v>25.4</x:v>
      </x:c>
      <x:c r="N118" s="8" t="n">
        <x:f>IF(10='合同排期'!I18,'合同排期'!N18,0)+IF(AND(10&gt;='合同排期'!J18,10&lt;'合同排期'!J18+12),'合同排期'!O18,0)+N114*'假设'!D47</x:f>
        <x:v>0.3</x:v>
      </x:c>
      <x:c r="O118" s="8" t="n">
        <x:f>IF(11='合同排期'!I18,'合同排期'!N18,0)+IF(AND(11&gt;='合同排期'!J18,11&lt;'合同排期'!J18+12),'合同排期'!O18,0)+O114*'假设'!D47</x:f>
        <x:v>0.3</x:v>
      </x:c>
      <x:c r="P118" s="8" t="n">
        <x:f>IF(12='合同排期'!I18,'合同排期'!N18,0)+IF(AND(12&gt;='合同排期'!J18,12&lt;'合同排期'!J18+12),'合同排期'!O18,0)+P114*'假设'!D47</x:f>
        <x:v>0.3</x:v>
      </x:c>
      <x:c r="Q118" s="8" t="n">
        <x:f>IF(13='合同排期'!I18,'合同排期'!N18,0)+IF(AND(13&gt;='合同排期'!J18,13&lt;'合同排期'!J18+12),'合同排期'!O18,0)+Q114*'假设'!D47</x:f>
        <x:v>0.3</x:v>
      </x:c>
      <x:c r="R118" s="8" t="n">
        <x:f>IF(14='合同排期'!I18,'合同排期'!N18,0)+IF(AND(14&gt;='合同排期'!J18,14&lt;'合同排期'!J18+12),'合同排期'!O18,0)+R114*'假设'!D47</x:f>
        <x:v>0.3</x:v>
      </x:c>
      <x:c r="S118" s="8" t="n">
        <x:f>IF(15='合同排期'!I18,'合同排期'!N18,0)+IF(AND(15&gt;='合同排期'!J18,15&lt;'合同排期'!J18+12),'合同排期'!O18,0)+S114*'假设'!D47</x:f>
        <x:v>0.3</x:v>
      </x:c>
      <x:c r="T118" s="8" t="n">
        <x:f>IF(16='合同排期'!I18,'合同排期'!N18,0)+IF(AND(16&gt;='合同排期'!J18,16&lt;'合同排期'!J18+12),'合同排期'!O18,0)+T114*'假设'!D47</x:f>
        <x:v>0.3</x:v>
      </x:c>
      <x:c r="U118" s="8" t="n">
        <x:f>IF(17='合同排期'!I18,'合同排期'!N18,0)+IF(AND(17&gt;='合同排期'!J18,17&lt;'合同排期'!J18+12),'合同排期'!O18,0)+U114*'假设'!D47</x:f>
        <x:v>0.3</x:v>
      </x:c>
      <x:c r="V118" s="8" t="n">
        <x:f>IF(18='合同排期'!I18,'合同排期'!N18,0)+IF(AND(18&gt;='合同排期'!J18,18&lt;'合同排期'!J18+12),'合同排期'!O18,0)+V114*'假设'!D47</x:f>
        <x:v>0.3</x:v>
      </x:c>
      <x:c r="W118" s="8" t="n">
        <x:f>IF(19='合同排期'!I18,'合同排期'!N18,0)+IF(AND(19&gt;='合同排期'!J18,19&lt;'合同排期'!J18+12),'合同排期'!O18,0)+W114*'假设'!D47</x:f>
        <x:v>0.3</x:v>
      </x:c>
      <x:c r="X118" s="8" t="n">
        <x:f>IF(20='合同排期'!I18,'合同排期'!N18,0)+IF(AND(20&gt;='合同排期'!J18,20&lt;'合同排期'!J18+12),'合同排期'!O18,0)+X114*'假设'!D47</x:f>
        <x:v>0.3</x:v>
      </x:c>
      <x:c r="Y118" s="8" t="n">
        <x:f>IF(21='合同排期'!I18,'合同排期'!N18,0)+IF(AND(21&gt;='合同排期'!J18,21&lt;'合同排期'!J18+12),'合同排期'!O18,0)+Y114*'假设'!D47</x:f>
        <x:v>0.3</x:v>
      </x:c>
      <x:c r="Z118" s="8" t="n">
        <x:f>IF(22='合同排期'!I18,'合同排期'!N18,0)+IF(AND(22&gt;='合同排期'!J18,22&lt;'合同排期'!J18+12),'合同排期'!O18,0)+Z114*'假设'!D47</x:f>
        <x:v>0</x:v>
      </x:c>
      <x:c r="AA118" s="8" t="n">
        <x:f>IF(23='合同排期'!I18,'合同排期'!N18,0)+IF(AND(23&gt;='合同排期'!J18,23&lt;'合同排期'!J18+12),'合同排期'!O18,0)+AA114*'假设'!D47</x:f>
        <x:v>0</x:v>
      </x:c>
      <x:c r="AB118" s="8" t="n">
        <x:f>IF(24='合同排期'!I18,'合同排期'!N18,0)+IF(AND(24&gt;='合同排期'!J18,24&lt;'合同排期'!J18+12),'合同排期'!O18,0)+AB114*'假设'!D47</x:f>
        <x:v>0</x:v>
      </x:c>
    </x:row>
    <x:row r="119" ht="23" customHeight="1">
      <x:c r="A119" s="1"/>
      <x:c r="B119" s="1"/>
      <x:c r="C119" s="1" t="str">
        <x:v>E01</x:v>
      </x:c>
      <x:c r="D119" s="1" t="str">
        <x:v>直接现金成本</x:v>
      </x:c>
      <x:c r="E119" s="8" t="n">
        <x:f>IF(AND(1&gt;='合同排期'!H18,1&lt;='合同排期'!I18),'合同排期'!N18/('合同排期'!I18-'合同排期'!H18+1),0)+IF(AND(1&gt;='合同排期'!J18,1&lt;'合同排期'!J18+12),'合同排期'!O18,0)+E117*'假设'!D47</x:f>
        <x:v>0</x:v>
      </x:c>
      <x:c r="F119" s="8" t="n">
        <x:f>IF(AND(2&gt;='合同排期'!H18,2&lt;='合同排期'!I18),'合同排期'!N18/('合同排期'!I18-'合同排期'!H18+1),0)+IF(AND(2&gt;='合同排期'!J18,2&lt;'合同排期'!J18+12),'合同排期'!O18,0)+F117*'假设'!D47</x:f>
        <x:v>0</x:v>
      </x:c>
      <x:c r="G119" s="8" t="n">
        <x:f>IF(AND(3&gt;='合同排期'!H18,3&lt;='合同排期'!I18),'合同排期'!N18/('合同排期'!I18-'合同排期'!H18+1),0)+IF(AND(3&gt;='合同排期'!J18,3&lt;'合同排期'!J18+12),'合同排期'!O18,0)+G117*'假设'!D47</x:f>
        <x:v>0</x:v>
      </x:c>
      <x:c r="H119" s="8" t="n">
        <x:f>IF(AND(4&gt;='合同排期'!H18,4&lt;='合同排期'!I18),'合同排期'!N18/('合同排期'!I18-'合同排期'!H18+1),0)+IF(AND(4&gt;='合同排期'!J18,4&lt;'合同排期'!J18+12),'合同排期'!O18,0)+H117*'假设'!D47</x:f>
        <x:v>0</x:v>
      </x:c>
      <x:c r="I119" s="8" t="n">
        <x:f>IF(AND(5&gt;='合同排期'!H18,5&lt;='合同排期'!I18),'合同排期'!N18/('合同排期'!I18-'合同排期'!H18+1),0)+IF(AND(5&gt;='合同排期'!J18,5&lt;'合同排期'!J18+12),'合同排期'!O18,0)+I117*'假设'!D47</x:f>
        <x:v>0</x:v>
      </x:c>
      <x:c r="J119" s="8" t="n">
        <x:f>IF(AND(6&gt;='合同排期'!H18,6&lt;='合同排期'!I18),'合同排期'!N18/('合同排期'!I18-'合同排期'!H18+1),0)+IF(AND(6&gt;='合同排期'!J18,6&lt;'合同排期'!J18+12),'合同排期'!O18,0)+J117*'假设'!D47</x:f>
        <x:v>6.35</x:v>
      </x:c>
      <x:c r="K119" s="8" t="n">
        <x:f>IF(AND(7&gt;='合同排期'!H18,7&lt;='合同排期'!I18),'合同排期'!N18/('合同排期'!I18-'合同排期'!H18+1),0)+IF(AND(7&gt;='合同排期'!J18,7&lt;'合同排期'!J18+12),'合同排期'!O18,0)+K117*'假设'!D47</x:f>
        <x:v>7.175</x:v>
      </x:c>
      <x:c r="L119" s="8" t="n">
        <x:f>IF(AND(8&gt;='合同排期'!H18,8&lt;='合同排期'!I18),'合同排期'!N18/('合同排期'!I18-'合同排期'!H18+1),0)+IF(AND(8&gt;='合同排期'!J18,8&lt;'合同排期'!J18+12),'合同排期'!O18,0)+L117*'假设'!D47</x:f>
        <x:v>6.35</x:v>
      </x:c>
      <x:c r="M119" s="8" t="n">
        <x:f>IF(AND(9&gt;='合同排期'!H18,9&lt;='合同排期'!I18),'合同排期'!N18/('合同排期'!I18-'合同排期'!H18+1),0)+IF(AND(9&gt;='合同排期'!J18,9&lt;'合同排期'!J18+12),'合同排期'!O18,0)+M117*'假设'!D47</x:f>
        <x:v>7.449999999999999</x:v>
      </x:c>
      <x:c r="N119" s="8" t="n">
        <x:f>IF(AND(10&gt;='合同排期'!H18,10&lt;='合同排期'!I18),'合同排期'!N18/('合同排期'!I18-'合同排期'!H18+1),0)+IF(AND(10&gt;='合同排期'!J18,10&lt;'合同排期'!J18+12),'合同排期'!O18,0)+N117*'假设'!D47</x:f>
        <x:v>1.125</x:v>
      </x:c>
      <x:c r="O119" s="8" t="n">
        <x:f>IF(AND(11&gt;='合同排期'!H18,11&lt;='合同排期'!I18),'合同排期'!N18/('合同排期'!I18-'合同排期'!H18+1),0)+IF(AND(11&gt;='合同排期'!J18,11&lt;'合同排期'!J18+12),'合同排期'!O18,0)+O117*'假设'!D47</x:f>
        <x:v>0.9000000000000001</x:v>
      </x:c>
      <x:c r="P119" s="8" t="n">
        <x:f>IF(AND(12&gt;='合同排期'!H18,12&lt;='合同排期'!I18),'合同排期'!N18/('合同排期'!I18-'合同排期'!H18+1),0)+IF(AND(12&gt;='合同排期'!J18,12&lt;'合同排期'!J18+12),'合同排期'!O18,0)+P117*'假设'!D47</x:f>
        <x:v>0.3</x:v>
      </x:c>
      <x:c r="Q119" s="8" t="n">
        <x:f>IF(AND(13&gt;='合同排期'!H18,13&lt;='合同排期'!I18),'合同排期'!N18/('合同排期'!I18-'合同排期'!H18+1),0)+IF(AND(13&gt;='合同排期'!J18,13&lt;'合同排期'!J18+12),'合同排期'!O18,0)+Q117*'假设'!D47</x:f>
        <x:v>0.3</x:v>
      </x:c>
      <x:c r="R119" s="8" t="n">
        <x:f>IF(AND(14&gt;='合同排期'!H18,14&lt;='合同排期'!I18),'合同排期'!N18/('合同排期'!I18-'合同排期'!H18+1),0)+IF(AND(14&gt;='合同排期'!J18,14&lt;'合同排期'!J18+12),'合同排期'!O18,0)+R117*'假设'!D47</x:f>
        <x:v>0.3</x:v>
      </x:c>
      <x:c r="S119" s="8" t="n">
        <x:f>IF(AND(15&gt;='合同排期'!H18,15&lt;='合同排期'!I18),'合同排期'!N18/('合同排期'!I18-'合同排期'!H18+1),0)+IF(AND(15&gt;='合同排期'!J18,15&lt;'合同排期'!J18+12),'合同排期'!O18,0)+S117*'假设'!D47</x:f>
        <x:v>0.3</x:v>
      </x:c>
      <x:c r="T119" s="8" t="n">
        <x:f>IF(AND(16&gt;='合同排期'!H18,16&lt;='合同排期'!I18),'合同排期'!N18/('合同排期'!I18-'合同排期'!H18+1),0)+IF(AND(16&gt;='合同排期'!J18,16&lt;'合同排期'!J18+12),'合同排期'!O18,0)+T117*'假设'!D47</x:f>
        <x:v>0.3</x:v>
      </x:c>
      <x:c r="U119" s="8" t="n">
        <x:f>IF(AND(17&gt;='合同排期'!H18,17&lt;='合同排期'!I18),'合同排期'!N18/('合同排期'!I18-'合同排期'!H18+1),0)+IF(AND(17&gt;='合同排期'!J18,17&lt;'合同排期'!J18+12),'合同排期'!O18,0)+U117*'假设'!D47</x:f>
        <x:v>0.3</x:v>
      </x:c>
      <x:c r="V119" s="8" t="n">
        <x:f>IF(AND(18&gt;='合同排期'!H18,18&lt;='合同排期'!I18),'合同排期'!N18/('合同排期'!I18-'合同排期'!H18+1),0)+IF(AND(18&gt;='合同排期'!J18,18&lt;'合同排期'!J18+12),'合同排期'!O18,0)+V117*'假设'!D47</x:f>
        <x:v>0.3</x:v>
      </x:c>
      <x:c r="W119" s="8" t="n">
        <x:f>IF(AND(19&gt;='合同排期'!H18,19&lt;='合同排期'!I18),'合同排期'!N18/('合同排期'!I18-'合同排期'!H18+1),0)+IF(AND(19&gt;='合同排期'!J18,19&lt;'合同排期'!J18+12),'合同排期'!O18,0)+W117*'假设'!D47</x:f>
        <x:v>0.3</x:v>
      </x:c>
      <x:c r="X119" s="8" t="n">
        <x:f>IF(AND(20&gt;='合同排期'!H18,20&lt;='合同排期'!I18),'合同排期'!N18/('合同排期'!I18-'合同排期'!H18+1),0)+IF(AND(20&gt;='合同排期'!J18,20&lt;'合同排期'!J18+12),'合同排期'!O18,0)+X117*'假设'!D47</x:f>
        <x:v>0.3</x:v>
      </x:c>
      <x:c r="Y119" s="8" t="n">
        <x:f>IF(AND(21&gt;='合同排期'!H18,21&lt;='合同排期'!I18),'合同排期'!N18/('合同排期'!I18-'合同排期'!H18+1),0)+IF(AND(21&gt;='合同排期'!J18,21&lt;'合同排期'!J18+12),'合同排期'!O18,0)+Y117*'假设'!D47</x:f>
        <x:v>0.3</x:v>
      </x:c>
      <x:c r="Z119" s="8" t="n">
        <x:f>IF(AND(22&gt;='合同排期'!H18,22&lt;='合同排期'!I18),'合同排期'!N18/('合同排期'!I18-'合同排期'!H18+1),0)+IF(AND(22&gt;='合同排期'!J18,22&lt;'合同排期'!J18+12),'合同排期'!O18,0)+Z117*'假设'!D47</x:f>
        <x:v>0</x:v>
      </x:c>
      <x:c r="AA119" s="8" t="n">
        <x:f>IF(AND(23&gt;='合同排期'!H18,23&lt;='合同排期'!I18),'合同排期'!N18/('合同排期'!I18-'合同排期'!H18+1),0)+IF(AND(23&gt;='合同排期'!J18,23&lt;'合同排期'!J18+12),'合同排期'!O18,0)+AA117*'假设'!D47</x:f>
        <x:v>0</x:v>
      </x:c>
      <x:c r="AB119" s="8" t="n">
        <x:f>IF(AND(24&gt;='合同排期'!H18,24&lt;='合同排期'!I18),'合同排期'!N18/('合同排期'!I18-'合同排期'!H18+1),0)+IF(AND(24&gt;='合同排期'!J18,24&lt;'合同排期'!J18+12),'合同排期'!O18,0)+AB117*'假设'!D47</x:f>
        <x:v>0</x:v>
      </x:c>
    </x:row>
    <x:row r="120" ht="23" customHeight="1">
      <x:c r="A120" s="1"/>
      <x:c r="B120" s="1"/>
      <x:c r="C120" s="1" t="str">
        <x:v>E01</x:v>
      </x:c>
      <x:c r="D120" s="1" t="str">
        <x:v>工程交付人月</x:v>
      </x:c>
      <x:c r="E120" s="8" t="n">
        <x:f>IF(AND(1&gt;='合同排期'!H18,1&lt;='合同排期'!I18),'合同排期'!M18/('合同排期'!I18-'合同排期'!H18+1),0)</x:f>
        <x:v>0</x:v>
      </x:c>
      <x:c r="F120" s="8" t="n">
        <x:f>IF(AND(2&gt;='合同排期'!H18,2&lt;='合同排期'!I18),'合同排期'!M18/('合同排期'!I18-'合同排期'!H18+1),0)</x:f>
        <x:v>0</x:v>
      </x:c>
      <x:c r="G120" s="8" t="n">
        <x:f>IF(AND(3&gt;='合同排期'!H18,3&lt;='合同排期'!I18),'合同排期'!M18/('合同排期'!I18-'合同排期'!H18+1),0)</x:f>
        <x:v>0</x:v>
      </x:c>
      <x:c r="H120" s="8" t="n">
        <x:f>IF(AND(4&gt;='合同排期'!H18,4&lt;='合同排期'!I18),'合同排期'!M18/('合同排期'!I18-'合同排期'!H18+1),0)</x:f>
        <x:v>0</x:v>
      </x:c>
      <x:c r="I120" s="8" t="n">
        <x:f>IF(AND(5&gt;='合同排期'!H18,5&lt;='合同排期'!I18),'合同排期'!M18/('合同排期'!I18-'合同排期'!H18+1),0)</x:f>
        <x:v>0</x:v>
      </x:c>
      <x:c r="J120" s="8" t="n">
        <x:f>IF(AND(6&gt;='合同排期'!H18,6&lt;='合同排期'!I18),'合同排期'!M18/('合同排期'!I18-'合同排期'!H18+1),0)</x:f>
        <x:v>4.5</x:v>
      </x:c>
      <x:c r="K120" s="8" t="n">
        <x:f>IF(AND(7&gt;='合同排期'!H18,7&lt;='合同排期'!I18),'合同排期'!M18/('合同排期'!I18-'合同排期'!H18+1),0)</x:f>
        <x:v>4.5</x:v>
      </x:c>
      <x:c r="L120" s="8" t="n">
        <x:f>IF(AND(8&gt;='合同排期'!H18,8&lt;='合同排期'!I18),'合同排期'!M18/('合同排期'!I18-'合同排期'!H18+1),0)</x:f>
        <x:v>4.5</x:v>
      </x:c>
      <x:c r="M120" s="8" t="n">
        <x:f>IF(AND(9&gt;='合同排期'!H18,9&lt;='合同排期'!I18),'合同排期'!M18/('合同排期'!I18-'合同排期'!H18+1),0)</x:f>
        <x:v>4.5</x:v>
      </x:c>
      <x:c r="N120" s="8" t="n">
        <x:f>IF(AND(10&gt;='合同排期'!H18,10&lt;='合同排期'!I18),'合同排期'!M18/('合同排期'!I18-'合同排期'!H18+1),0)</x:f>
        <x:v>0</x:v>
      </x:c>
      <x:c r="O120" s="8" t="n">
        <x:f>IF(AND(11&gt;='合同排期'!H18,11&lt;='合同排期'!I18),'合同排期'!M18/('合同排期'!I18-'合同排期'!H18+1),0)</x:f>
        <x:v>0</x:v>
      </x:c>
      <x:c r="P120" s="8" t="n">
        <x:f>IF(AND(12&gt;='合同排期'!H18,12&lt;='合同排期'!I18),'合同排期'!M18/('合同排期'!I18-'合同排期'!H18+1),0)</x:f>
        <x:v>0</x:v>
      </x:c>
      <x:c r="Q120" s="8" t="n">
        <x:f>IF(AND(13&gt;='合同排期'!H18,13&lt;='合同排期'!I18),'合同排期'!M18/('合同排期'!I18-'合同排期'!H18+1),0)</x:f>
        <x:v>0</x:v>
      </x:c>
      <x:c r="R120" s="8" t="n">
        <x:f>IF(AND(14&gt;='合同排期'!H18,14&lt;='合同排期'!I18),'合同排期'!M18/('合同排期'!I18-'合同排期'!H18+1),0)</x:f>
        <x:v>0</x:v>
      </x:c>
      <x:c r="S120" s="8" t="n">
        <x:f>IF(AND(15&gt;='合同排期'!H18,15&lt;='合同排期'!I18),'合同排期'!M18/('合同排期'!I18-'合同排期'!H18+1),0)</x:f>
        <x:v>0</x:v>
      </x:c>
      <x:c r="T120" s="8" t="n">
        <x:f>IF(AND(16&gt;='合同排期'!H18,16&lt;='合同排期'!I18),'合同排期'!M18/('合同排期'!I18-'合同排期'!H18+1),0)</x:f>
        <x:v>0</x:v>
      </x:c>
      <x:c r="U120" s="8" t="n">
        <x:f>IF(AND(17&gt;='合同排期'!H18,17&lt;='合同排期'!I18),'合同排期'!M18/('合同排期'!I18-'合同排期'!H18+1),0)</x:f>
        <x:v>0</x:v>
      </x:c>
      <x:c r="V120" s="8" t="n">
        <x:f>IF(AND(18&gt;='合同排期'!H18,18&lt;='合同排期'!I18),'合同排期'!M18/('合同排期'!I18-'合同排期'!H18+1),0)</x:f>
        <x:v>0</x:v>
      </x:c>
      <x:c r="W120" s="8" t="n">
        <x:f>IF(AND(19&gt;='合同排期'!H18,19&lt;='合同排期'!I18),'合同排期'!M18/('合同排期'!I18-'合同排期'!H18+1),0)</x:f>
        <x:v>0</x:v>
      </x:c>
      <x:c r="X120" s="8" t="n">
        <x:f>IF(AND(20&gt;='合同排期'!H18,20&lt;='合同排期'!I18),'合同排期'!M18/('合同排期'!I18-'合同排期'!H18+1),0)</x:f>
        <x:v>0</x:v>
      </x:c>
      <x:c r="Y120" s="8" t="n">
        <x:f>IF(AND(21&gt;='合同排期'!H18,21&lt;='合同排期'!I18),'合同排期'!M18/('合同排期'!I18-'合同排期'!H18+1),0)</x:f>
        <x:v>0</x:v>
      </x:c>
      <x:c r="Z120" s="8" t="n">
        <x:f>IF(AND(22&gt;='合同排期'!H18,22&lt;='合同排期'!I18),'合同排期'!M18/('合同排期'!I18-'合同排期'!H18+1),0)</x:f>
        <x:v>0</x:v>
      </x:c>
      <x:c r="AA120" s="8" t="n">
        <x:f>IF(AND(23&gt;='合同排期'!H18,23&lt;='合同排期'!I18),'合同排期'!M18/('合同排期'!I18-'合同排期'!H18+1),0)</x:f>
        <x:v>0</x:v>
      </x:c>
      <x:c r="AB120" s="8" t="n">
        <x:f>IF(AND(24&gt;='合同排期'!H18,24&lt;='合同排期'!I18),'合同排期'!M18/('合同排期'!I18-'合同排期'!H18+1),0)</x:f>
        <x:v>0</x:v>
      </x:c>
    </x:row>
    <x:row r="121" ht="23" customHeight="1">
      <x:c r="A121" s="1"/>
      <x:c r="B121" s="1"/>
      <x:c r="C121" s="1" t="str">
        <x:v>E01</x:v>
      </x:c>
      <x:c r="D121" s="1" t="str">
        <x:v>生效ARR</x:v>
      </x:c>
      <x:c r="E121" s="8" t="n">
        <x:f>IF(AND(1&gt;='合同排期'!J18,1&lt;'合同排期'!J18+12),'合同排期'!L18,0)</x:f>
        <x:v>0</x:v>
      </x:c>
      <x:c r="F121" s="8" t="n">
        <x:f>IF(AND(2&gt;='合同排期'!J18,2&lt;'合同排期'!J18+12),'合同排期'!L18,0)</x:f>
        <x:v>0</x:v>
      </x:c>
      <x:c r="G121" s="8" t="n">
        <x:f>IF(AND(3&gt;='合同排期'!J18,3&lt;'合同排期'!J18+12),'合同排期'!L18,0)</x:f>
        <x:v>0</x:v>
      </x:c>
      <x:c r="H121" s="8" t="n">
        <x:f>IF(AND(4&gt;='合同排期'!J18,4&lt;'合同排期'!J18+12),'合同排期'!L18,0)</x:f>
        <x:v>0</x:v>
      </x:c>
      <x:c r="I121" s="8" t="n">
        <x:f>IF(AND(5&gt;='合同排期'!J18,5&lt;'合同排期'!J18+12),'合同排期'!L18,0)</x:f>
        <x:v>0</x:v>
      </x:c>
      <x:c r="J121" s="8" t="n">
        <x:f>IF(AND(6&gt;='合同排期'!J18,6&lt;'合同排期'!J18+12),'合同排期'!L18,0)</x:f>
        <x:v>0</x:v>
      </x:c>
      <x:c r="K121" s="8" t="n">
        <x:f>IF(AND(7&gt;='合同排期'!J18,7&lt;'合同排期'!J18+12),'合同排期'!L18,0)</x:f>
        <x:v>0</x:v>
      </x:c>
      <x:c r="L121" s="8" t="n">
        <x:f>IF(AND(8&gt;='合同排期'!J18,8&lt;'合同排期'!J18+12),'合同排期'!L18,0)</x:f>
        <x:v>0</x:v>
      </x:c>
      <x:c r="M121" s="8" t="n">
        <x:f>IF(AND(9&gt;='合同排期'!J18,9&lt;'合同排期'!J18+12),'合同排期'!L18,0)</x:f>
        <x:v>0</x:v>
      </x:c>
      <x:c r="N121" s="8" t="n">
        <x:f>IF(AND(10&gt;='合同排期'!J18,10&lt;'合同排期'!J18+12),'合同排期'!L18,0)</x:f>
        <x:v>12</x:v>
      </x:c>
      <x:c r="O121" s="8" t="n">
        <x:f>IF(AND(11&gt;='合同排期'!J18,11&lt;'合同排期'!J18+12),'合同排期'!L18,0)</x:f>
        <x:v>12</x:v>
      </x:c>
      <x:c r="P121" s="8" t="n">
        <x:f>IF(AND(12&gt;='合同排期'!J18,12&lt;'合同排期'!J18+12),'合同排期'!L18,0)</x:f>
        <x:v>12</x:v>
      </x:c>
      <x:c r="Q121" s="8" t="n">
        <x:f>IF(AND(13&gt;='合同排期'!J18,13&lt;'合同排期'!J18+12),'合同排期'!L18,0)</x:f>
        <x:v>12</x:v>
      </x:c>
      <x:c r="R121" s="8" t="n">
        <x:f>IF(AND(14&gt;='合同排期'!J18,14&lt;'合同排期'!J18+12),'合同排期'!L18,0)</x:f>
        <x:v>12</x:v>
      </x:c>
      <x:c r="S121" s="8" t="n">
        <x:f>IF(AND(15&gt;='合同排期'!J18,15&lt;'合同排期'!J18+12),'合同排期'!L18,0)</x:f>
        <x:v>12</x:v>
      </x:c>
      <x:c r="T121" s="8" t="n">
        <x:f>IF(AND(16&gt;='合同排期'!J18,16&lt;'合同排期'!J18+12),'合同排期'!L18,0)</x:f>
        <x:v>12</x:v>
      </x:c>
      <x:c r="U121" s="8" t="n">
        <x:f>IF(AND(17&gt;='合同排期'!J18,17&lt;'合同排期'!J18+12),'合同排期'!L18,0)</x:f>
        <x:v>12</x:v>
      </x:c>
      <x:c r="V121" s="8" t="n">
        <x:f>IF(AND(18&gt;='合同排期'!J18,18&lt;'合同排期'!J18+12),'合同排期'!L18,0)</x:f>
        <x:v>12</x:v>
      </x:c>
      <x:c r="W121" s="8" t="n">
        <x:f>IF(AND(19&gt;='合同排期'!J18,19&lt;'合同排期'!J18+12),'合同排期'!L18,0)</x:f>
        <x:v>12</x:v>
      </x:c>
      <x:c r="X121" s="8" t="n">
        <x:f>IF(AND(20&gt;='合同排期'!J18,20&lt;'合同排期'!J18+12),'合同排期'!L18,0)</x:f>
        <x:v>12</x:v>
      </x:c>
      <x:c r="Y121" s="8" t="n">
        <x:f>IF(AND(21&gt;='合同排期'!J18,21&lt;'合同排期'!J18+12),'合同排期'!L18,0)</x:f>
        <x:v>12</x:v>
      </x:c>
      <x:c r="Z121" s="8" t="n">
        <x:f>IF(AND(22&gt;='合同排期'!J18,22&lt;'合同排期'!J18+12),'合同排期'!L18,0)</x:f>
        <x:v>0</x:v>
      </x:c>
      <x:c r="AA121" s="8" t="n">
        <x:f>IF(AND(23&gt;='合同排期'!J18,23&lt;'合同排期'!J18+12),'合同排期'!L18,0)</x:f>
        <x:v>0</x:v>
      </x:c>
      <x:c r="AB121" s="8" t="n">
        <x:f>IF(AND(24&gt;='合同排期'!J18,24&lt;'合同排期'!J18+12),'合同排期'!L18,0)</x:f>
        <x:v>0</x:v>
      </x:c>
    </x:row>
    <x:row r="122" ht="23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  <x:c r="AA122" s="1"/>
      <x:c r="AB122" s="1"/>
    </x:row>
    <x:row r="123" ht="23" customHeight="1">
      <x:c r="A123" s="1"/>
      <x:c r="B123" s="1"/>
      <x:c r="C123" s="1" t="str">
        <x:v>E02</x:v>
      </x:c>
      <x:c r="D123" s="1" t="str">
        <x:v>净签约</x:v>
      </x:c>
      <x:c r="E123" s="8" t="n">
        <x:f>IF(1='合同排期'!H19,'合同排期'!K19+'合同排期'!L19,0)</x:f>
        <x:v>0</x:v>
      </x:c>
      <x:c r="F123" s="8" t="n">
        <x:f>IF(2='合同排期'!H19,'合同排期'!K19+'合同排期'!L19,0)</x:f>
        <x:v>0</x:v>
      </x:c>
      <x:c r="G123" s="8" t="n">
        <x:f>IF(3='合同排期'!H19,'合同排期'!K19+'合同排期'!L19,0)</x:f>
        <x:v>0</x:v>
      </x:c>
      <x:c r="H123" s="8" t="n">
        <x:f>IF(4='合同排期'!H19,'合同排期'!K19+'合同排期'!L19,0)</x:f>
        <x:v>0</x:v>
      </x:c>
      <x:c r="I123" s="8" t="n">
        <x:f>IF(5='合同排期'!H19,'合同排期'!K19+'合同排期'!L19,0)</x:f>
        <x:v>0</x:v>
      </x:c>
      <x:c r="J123" s="8" t="n">
        <x:f>IF(6='合同排期'!H19,'合同排期'!K19+'合同排期'!L19,0)</x:f>
        <x:v>0</x:v>
      </x:c>
      <x:c r="K123" s="8" t="n">
        <x:f>IF(7='合同排期'!H19,'合同排期'!K19+'合同排期'!L19,0)</x:f>
        <x:v>67</x:v>
      </x:c>
      <x:c r="L123" s="8" t="n">
        <x:f>IF(8='合同排期'!H19,'合同排期'!K19+'合同排期'!L19,0)</x:f>
        <x:v>0</x:v>
      </x:c>
      <x:c r="M123" s="8" t="n">
        <x:f>IF(9='合同排期'!H19,'合同排期'!K19+'合同排期'!L19,0)</x:f>
        <x:v>0</x:v>
      </x:c>
      <x:c r="N123" s="8" t="n">
        <x:f>IF(10='合同排期'!H19,'合同排期'!K19+'合同排期'!L19,0)</x:f>
        <x:v>0</x:v>
      </x:c>
      <x:c r="O123" s="8" t="n">
        <x:f>IF(11='合同排期'!H19,'合同排期'!K19+'合同排期'!L19,0)</x:f>
        <x:v>0</x:v>
      </x:c>
      <x:c r="P123" s="8" t="n">
        <x:f>IF(12='合同排期'!H19,'合同排期'!K19+'合同排期'!L19,0)</x:f>
        <x:v>0</x:v>
      </x:c>
      <x:c r="Q123" s="8" t="n">
        <x:f>IF(13='合同排期'!H19,'合同排期'!K19+'合同排期'!L19,0)</x:f>
        <x:v>0</x:v>
      </x:c>
      <x:c r="R123" s="8" t="n">
        <x:f>IF(14='合同排期'!H19,'合同排期'!K19+'合同排期'!L19,0)</x:f>
        <x:v>0</x:v>
      </x:c>
      <x:c r="S123" s="8" t="n">
        <x:f>IF(15='合同排期'!H19,'合同排期'!K19+'合同排期'!L19,0)</x:f>
        <x:v>0</x:v>
      </x:c>
      <x:c r="T123" s="8" t="n">
        <x:f>IF(16='合同排期'!H19,'合同排期'!K19+'合同排期'!L19,0)</x:f>
        <x:v>0</x:v>
      </x:c>
      <x:c r="U123" s="8" t="n">
        <x:f>IF(17='合同排期'!H19,'合同排期'!K19+'合同排期'!L19,0)</x:f>
        <x:v>0</x:v>
      </x:c>
      <x:c r="V123" s="8" t="n">
        <x:f>IF(18='合同排期'!H19,'合同排期'!K19+'合同排期'!L19,0)</x:f>
        <x:v>0</x:v>
      </x:c>
      <x:c r="W123" s="8" t="n">
        <x:f>IF(19='合同排期'!H19,'合同排期'!K19+'合同排期'!L19,0)</x:f>
        <x:v>0</x:v>
      </x:c>
      <x:c r="X123" s="8" t="n">
        <x:f>IF(20='合同排期'!H19,'合同排期'!K19+'合同排期'!L19,0)</x:f>
        <x:v>0</x:v>
      </x:c>
      <x:c r="Y123" s="8" t="n">
        <x:f>IF(21='合同排期'!H19,'合同排期'!K19+'合同排期'!L19,0)</x:f>
        <x:v>0</x:v>
      </x:c>
      <x:c r="Z123" s="8" t="n">
        <x:f>IF(22='合同排期'!H19,'合同排期'!K19+'合同排期'!L19,0)</x:f>
        <x:v>0</x:v>
      </x:c>
      <x:c r="AA123" s="8" t="n">
        <x:f>IF(23='合同排期'!H19,'合同排期'!K19+'合同排期'!L19,0)</x:f>
        <x:v>0</x:v>
      </x:c>
      <x:c r="AB123" s="8" t="n">
        <x:f>IF(24='合同排期'!H19,'合同排期'!K19+'合同排期'!L19,0)</x:f>
        <x:v>0</x:v>
      </x:c>
    </x:row>
    <x:row r="124" ht="23" customHeight="1">
      <x:c r="A124" s="1"/>
      <x:c r="B124" s="1"/>
      <x:c r="C124" s="1" t="str">
        <x:v>E02</x:v>
      </x:c>
      <x:c r="D124" s="1" t="str">
        <x:v>确认收入</x:v>
      </x:c>
      <x:c r="E124" s="8" t="n">
        <x:f>IF(1='合同排期'!I19,'合同排期'!K19,0)+IF(AND(1&gt;='合同排期'!J19,1&lt;'合同排期'!J19+12),'合同排期'!L19/12,0)</x:f>
        <x:v>0</x:v>
      </x:c>
      <x:c r="F124" s="8" t="n">
        <x:f>IF(2='合同排期'!I19,'合同排期'!K19,0)+IF(AND(2&gt;='合同排期'!J19,2&lt;'合同排期'!J19+12),'合同排期'!L19/12,0)</x:f>
        <x:v>0</x:v>
      </x:c>
      <x:c r="G124" s="8" t="n">
        <x:f>IF(3='合同排期'!I19,'合同排期'!K19,0)+IF(AND(3&gt;='合同排期'!J19,3&lt;'合同排期'!J19+12),'合同排期'!L19/12,0)</x:f>
        <x:v>0</x:v>
      </x:c>
      <x:c r="H124" s="8" t="n">
        <x:f>IF(4='合同排期'!I19,'合同排期'!K19,0)+IF(AND(4&gt;='合同排期'!J19,4&lt;'合同排期'!J19+12),'合同排期'!L19/12,0)</x:f>
        <x:v>0</x:v>
      </x:c>
      <x:c r="I124" s="8" t="n">
        <x:f>IF(5='合同排期'!I19,'合同排期'!K19,0)+IF(AND(5&gt;='合同排期'!J19,5&lt;'合同排期'!J19+12),'合同排期'!L19/12,0)</x:f>
        <x:v>0</x:v>
      </x:c>
      <x:c r="J124" s="8" t="n">
        <x:f>IF(6='合同排期'!I19,'合同排期'!K19,0)+IF(AND(6&gt;='合同排期'!J19,6&lt;'合同排期'!J19+12),'合同排期'!L19/12,0)</x:f>
        <x:v>0</x:v>
      </x:c>
      <x:c r="K124" s="8" t="n">
        <x:f>IF(7='合同排期'!I19,'合同排期'!K19,0)+IF(AND(7&gt;='合同排期'!J19,7&lt;'合同排期'!J19+12),'合同排期'!L19/12,0)</x:f>
        <x:v>0</x:v>
      </x:c>
      <x:c r="L124" s="8" t="n">
        <x:f>IF(8='合同排期'!I19,'合同排期'!K19,0)+IF(AND(8&gt;='合同排期'!J19,8&lt;'合同排期'!J19+12),'合同排期'!L19/12,0)</x:f>
        <x:v>0</x:v>
      </x:c>
      <x:c r="M124" s="8" t="n">
        <x:f>IF(9='合同排期'!I19,'合同排期'!K19,0)+IF(AND(9&gt;='合同排期'!J19,9&lt;'合同排期'!J19+12),'合同排期'!L19/12,0)</x:f>
        <x:v>0</x:v>
      </x:c>
      <x:c r="N124" s="8" t="n">
        <x:f>IF(10='合同排期'!I19,'合同排期'!K19,0)+IF(AND(10&gt;='合同排期'!J19,10&lt;'合同排期'!J19+12),'合同排期'!L19/12,0)</x:f>
        <x:v>55</x:v>
      </x:c>
      <x:c r="O124" s="8" t="n">
        <x:f>IF(11='合同排期'!I19,'合同排期'!K19,0)+IF(AND(11&gt;='合同排期'!J19,11&lt;'合同排期'!J19+12),'合同排期'!L19/12,0)</x:f>
        <x:v>1</x:v>
      </x:c>
      <x:c r="P124" s="8" t="n">
        <x:f>IF(12='合同排期'!I19,'合同排期'!K19,0)+IF(AND(12&gt;='合同排期'!J19,12&lt;'合同排期'!J19+12),'合同排期'!L19/12,0)</x:f>
        <x:v>1</x:v>
      </x:c>
      <x:c r="Q124" s="8" t="n">
        <x:f>IF(13='合同排期'!I19,'合同排期'!K19,0)+IF(AND(13&gt;='合同排期'!J19,13&lt;'合同排期'!J19+12),'合同排期'!L19/12,0)</x:f>
        <x:v>1</x:v>
      </x:c>
      <x:c r="R124" s="8" t="n">
        <x:f>IF(14='合同排期'!I19,'合同排期'!K19,0)+IF(AND(14&gt;='合同排期'!J19,14&lt;'合同排期'!J19+12),'合同排期'!L19/12,0)</x:f>
        <x:v>1</x:v>
      </x:c>
      <x:c r="S124" s="8" t="n">
        <x:f>IF(15='合同排期'!I19,'合同排期'!K19,0)+IF(AND(15&gt;='合同排期'!J19,15&lt;'合同排期'!J19+12),'合同排期'!L19/12,0)</x:f>
        <x:v>1</x:v>
      </x:c>
      <x:c r="T124" s="8" t="n">
        <x:f>IF(16='合同排期'!I19,'合同排期'!K19,0)+IF(AND(16&gt;='合同排期'!J19,16&lt;'合同排期'!J19+12),'合同排期'!L19/12,0)</x:f>
        <x:v>1</x:v>
      </x:c>
      <x:c r="U124" s="8" t="n">
        <x:f>IF(17='合同排期'!I19,'合同排期'!K19,0)+IF(AND(17&gt;='合同排期'!J19,17&lt;'合同排期'!J19+12),'合同排期'!L19/12,0)</x:f>
        <x:v>1</x:v>
      </x:c>
      <x:c r="V124" s="8" t="n">
        <x:f>IF(18='合同排期'!I19,'合同排期'!K19,0)+IF(AND(18&gt;='合同排期'!J19,18&lt;'合同排期'!J19+12),'合同排期'!L19/12,0)</x:f>
        <x:v>1</x:v>
      </x:c>
      <x:c r="W124" s="8" t="n">
        <x:f>IF(19='合同排期'!I19,'合同排期'!K19,0)+IF(AND(19&gt;='合同排期'!J19,19&lt;'合同排期'!J19+12),'合同排期'!L19/12,0)</x:f>
        <x:v>1</x:v>
      </x:c>
      <x:c r="X124" s="8" t="n">
        <x:f>IF(20='合同排期'!I19,'合同排期'!K19,0)+IF(AND(20&gt;='合同排期'!J19,20&lt;'合同排期'!J19+12),'合同排期'!L19/12,0)</x:f>
        <x:v>1</x:v>
      </x:c>
      <x:c r="Y124" s="8" t="n">
        <x:f>IF(21='合同排期'!I19,'合同排期'!K19,0)+IF(AND(21&gt;='合同排期'!J19,21&lt;'合同排期'!J19+12),'合同排期'!L19/12,0)</x:f>
        <x:v>1</x:v>
      </x:c>
      <x:c r="Z124" s="8" t="n">
        <x:f>IF(22='合同排期'!I19,'合同排期'!K19,0)+IF(AND(22&gt;='合同排期'!J19,22&lt;'合同排期'!J19+12),'合同排期'!L19/12,0)</x:f>
        <x:v>1</x:v>
      </x:c>
      <x:c r="AA124" s="8" t="n">
        <x:f>IF(23='合同排期'!I19,'合同排期'!K19,0)+IF(AND(23&gt;='合同排期'!J19,23&lt;'合同排期'!J19+12),'合同排期'!L19/12,0)</x:f>
        <x:v>0</x:v>
      </x:c>
      <x:c r="AB124" s="8" t="n">
        <x:f>IF(24='合同排期'!I19,'合同排期'!K19,0)+IF(AND(24&gt;='合同排期'!J19,24&lt;'合同排期'!J19+12),'合同排期'!L19/12,0)</x:f>
        <x:v>0</x:v>
      </x:c>
    </x:row>
    <x:row r="125" ht="23" customHeight="1">
      <x:c r="A125" s="1"/>
      <x:c r="B125" s="1"/>
      <x:c r="C125" s="1" t="str">
        <x:v>E02</x:v>
      </x:c>
      <x:c r="D125" s="1" t="str">
        <x:v>开票</x:v>
      </x:c>
      <x:c r="E125" s="8" t="n">
        <x:f>IF(1='合同排期'!H19,'合同排期'!K19*'合同排期'!P19,0)+IF(1='合同排期'!S19,'合同排期'!K19*'合同排期'!Q19,0)+IF(1='合同排期'!I19,'合同排期'!K19*'合同排期'!R19,0)+IF(1='合同排期'!J19,'合同排期'!L19,0)</x:f>
        <x:v>0</x:v>
      </x:c>
      <x:c r="F125" s="8" t="n">
        <x:f>IF(2='合同排期'!H19,'合同排期'!K19*'合同排期'!P19,0)+IF(2='合同排期'!S19,'合同排期'!K19*'合同排期'!Q19,0)+IF(2='合同排期'!I19,'合同排期'!K19*'合同排期'!R19,0)+IF(2='合同排期'!J19,'合同排期'!L19,0)</x:f>
        <x:v>0</x:v>
      </x:c>
      <x:c r="G125" s="8" t="n">
        <x:f>IF(3='合同排期'!H19,'合同排期'!K19*'合同排期'!P19,0)+IF(3='合同排期'!S19,'合同排期'!K19*'合同排期'!Q19,0)+IF(3='合同排期'!I19,'合同排期'!K19*'合同排期'!R19,0)+IF(3='合同排期'!J19,'合同排期'!L19,0)</x:f>
        <x:v>0</x:v>
      </x:c>
      <x:c r="H125" s="8" t="n">
        <x:f>IF(4='合同排期'!H19,'合同排期'!K19*'合同排期'!P19,0)+IF(4='合同排期'!S19,'合同排期'!K19*'合同排期'!Q19,0)+IF(4='合同排期'!I19,'合同排期'!K19*'合同排期'!R19,0)+IF(4='合同排期'!J19,'合同排期'!L19,0)</x:f>
        <x:v>0</x:v>
      </x:c>
      <x:c r="I125" s="8" t="n">
        <x:f>IF(5='合同排期'!H19,'合同排期'!K19*'合同排期'!P19,0)+IF(5='合同排期'!S19,'合同排期'!K19*'合同排期'!Q19,0)+IF(5='合同排期'!I19,'合同排期'!K19*'合同排期'!R19,0)+IF(5='合同排期'!J19,'合同排期'!L19,0)</x:f>
        <x:v>0</x:v>
      </x:c>
      <x:c r="J125" s="8" t="n">
        <x:f>IF(6='合同排期'!H19,'合同排期'!K19*'合同排期'!P19,0)+IF(6='合同排期'!S19,'合同排期'!K19*'合同排期'!Q19,0)+IF(6='合同排期'!I19,'合同排期'!K19*'合同排期'!R19,0)+IF(6='合同排期'!J19,'合同排期'!L19,0)</x:f>
        <x:v>0</x:v>
      </x:c>
      <x:c r="K125" s="8" t="n">
        <x:f>IF(7='合同排期'!H19,'合同排期'!K19*'合同排期'!P19,0)+IF(7='合同排期'!S19,'合同排期'!K19*'合同排期'!Q19,0)+IF(7='合同排期'!I19,'合同排期'!K19*'合同排期'!R19,0)+IF(7='合同排期'!J19,'合同排期'!L19,0)</x:f>
        <x:v>16.5</x:v>
      </x:c>
      <x:c r="L125" s="8" t="n">
        <x:f>IF(8='合同排期'!H19,'合同排期'!K19*'合同排期'!P19,0)+IF(8='合同排期'!S19,'合同排期'!K19*'合同排期'!Q19,0)+IF(8='合同排期'!I19,'合同排期'!K19*'合同排期'!R19,0)+IF(8='合同排期'!J19,'合同排期'!L19,0)</x:f>
        <x:v>0</x:v>
      </x:c>
      <x:c r="M125" s="8" t="n">
        <x:f>IF(9='合同排期'!H19,'合同排期'!K19*'合同排期'!P19,0)+IF(9='合同排期'!S19,'合同排期'!K19*'合同排期'!Q19,0)+IF(9='合同排期'!I19,'合同排期'!K19*'合同排期'!R19,0)+IF(9='合同排期'!J19,'合同排期'!L19,0)</x:f>
        <x:v>22</x:v>
      </x:c>
      <x:c r="N125" s="8" t="n">
        <x:f>IF(10='合同排期'!H19,'合同排期'!K19*'合同排期'!P19,0)+IF(10='合同排期'!S19,'合同排期'!K19*'合同排期'!Q19,0)+IF(10='合同排期'!I19,'合同排期'!K19*'合同排期'!R19,0)+IF(10='合同排期'!J19,'合同排期'!L19,0)</x:f>
        <x:v>16.5</x:v>
      </x:c>
      <x:c r="O125" s="8" t="n">
        <x:f>IF(11='合同排期'!H19,'合同排期'!K19*'合同排期'!P19,0)+IF(11='合同排期'!S19,'合同排期'!K19*'合同排期'!Q19,0)+IF(11='合同排期'!I19,'合同排期'!K19*'合同排期'!R19,0)+IF(11='合同排期'!J19,'合同排期'!L19,0)</x:f>
        <x:v>12</x:v>
      </x:c>
      <x:c r="P125" s="8" t="n">
        <x:f>IF(12='合同排期'!H19,'合同排期'!K19*'合同排期'!P19,0)+IF(12='合同排期'!S19,'合同排期'!K19*'合同排期'!Q19,0)+IF(12='合同排期'!I19,'合同排期'!K19*'合同排期'!R19,0)+IF(12='合同排期'!J19,'合同排期'!L19,0)</x:f>
        <x:v>0</x:v>
      </x:c>
      <x:c r="Q125" s="8" t="n">
        <x:f>IF(13='合同排期'!H19,'合同排期'!K19*'合同排期'!P19,0)+IF(13='合同排期'!S19,'合同排期'!K19*'合同排期'!Q19,0)+IF(13='合同排期'!I19,'合同排期'!K19*'合同排期'!R19,0)+IF(13='合同排期'!J19,'合同排期'!L19,0)</x:f>
        <x:v>0</x:v>
      </x:c>
      <x:c r="R125" s="8" t="n">
        <x:f>IF(14='合同排期'!H19,'合同排期'!K19*'合同排期'!P19,0)+IF(14='合同排期'!S19,'合同排期'!K19*'合同排期'!Q19,0)+IF(14='合同排期'!I19,'合同排期'!K19*'合同排期'!R19,0)+IF(14='合同排期'!J19,'合同排期'!L19,0)</x:f>
        <x:v>0</x:v>
      </x:c>
      <x:c r="S125" s="8" t="n">
        <x:f>IF(15='合同排期'!H19,'合同排期'!K19*'合同排期'!P19,0)+IF(15='合同排期'!S19,'合同排期'!K19*'合同排期'!Q19,0)+IF(15='合同排期'!I19,'合同排期'!K19*'合同排期'!R19,0)+IF(15='合同排期'!J19,'合同排期'!L19,0)</x:f>
        <x:v>0</x:v>
      </x:c>
      <x:c r="T125" s="8" t="n">
        <x:f>IF(16='合同排期'!H19,'合同排期'!K19*'合同排期'!P19,0)+IF(16='合同排期'!S19,'合同排期'!K19*'合同排期'!Q19,0)+IF(16='合同排期'!I19,'合同排期'!K19*'合同排期'!R19,0)+IF(16='合同排期'!J19,'合同排期'!L19,0)</x:f>
        <x:v>0</x:v>
      </x:c>
      <x:c r="U125" s="8" t="n">
        <x:f>IF(17='合同排期'!H19,'合同排期'!K19*'合同排期'!P19,0)+IF(17='合同排期'!S19,'合同排期'!K19*'合同排期'!Q19,0)+IF(17='合同排期'!I19,'合同排期'!K19*'合同排期'!R19,0)+IF(17='合同排期'!J19,'合同排期'!L19,0)</x:f>
        <x:v>0</x:v>
      </x:c>
      <x:c r="V125" s="8" t="n">
        <x:f>IF(18='合同排期'!H19,'合同排期'!K19*'合同排期'!P19,0)+IF(18='合同排期'!S19,'合同排期'!K19*'合同排期'!Q19,0)+IF(18='合同排期'!I19,'合同排期'!K19*'合同排期'!R19,0)+IF(18='合同排期'!J19,'合同排期'!L19,0)</x:f>
        <x:v>0</x:v>
      </x:c>
      <x:c r="W125" s="8" t="n">
        <x:f>IF(19='合同排期'!H19,'合同排期'!K19*'合同排期'!P19,0)+IF(19='合同排期'!S19,'合同排期'!K19*'合同排期'!Q19,0)+IF(19='合同排期'!I19,'合同排期'!K19*'合同排期'!R19,0)+IF(19='合同排期'!J19,'合同排期'!L19,0)</x:f>
        <x:v>0</x:v>
      </x:c>
      <x:c r="X125" s="8" t="n">
        <x:f>IF(20='合同排期'!H19,'合同排期'!K19*'合同排期'!P19,0)+IF(20='合同排期'!S19,'合同排期'!K19*'合同排期'!Q19,0)+IF(20='合同排期'!I19,'合同排期'!K19*'合同排期'!R19,0)+IF(20='合同排期'!J19,'合同排期'!L19,0)</x:f>
        <x:v>0</x:v>
      </x:c>
      <x:c r="Y125" s="8" t="n">
        <x:f>IF(21='合同排期'!H19,'合同排期'!K19*'合同排期'!P19,0)+IF(21='合同排期'!S19,'合同排期'!K19*'合同排期'!Q19,0)+IF(21='合同排期'!I19,'合同排期'!K19*'合同排期'!R19,0)+IF(21='合同排期'!J19,'合同排期'!L19,0)</x:f>
        <x:v>0</x:v>
      </x:c>
      <x:c r="Z125" s="8" t="n">
        <x:f>IF(22='合同排期'!H19,'合同排期'!K19*'合同排期'!P19,0)+IF(22='合同排期'!S19,'合同排期'!K19*'合同排期'!Q19,0)+IF(22='合同排期'!I19,'合同排期'!K19*'合同排期'!R19,0)+IF(22='合同排期'!J19,'合同排期'!L19,0)</x:f>
        <x:v>0</x:v>
      </x:c>
      <x:c r="AA125" s="8" t="n">
        <x:f>IF(23='合同排期'!H19,'合同排期'!K19*'合同排期'!P19,0)+IF(23='合同排期'!S19,'合同排期'!K19*'合同排期'!Q19,0)+IF(23='合同排期'!I19,'合同排期'!K19*'合同排期'!R19,0)+IF(23='合同排期'!J19,'合同排期'!L19,0)</x:f>
        <x:v>0</x:v>
      </x:c>
      <x:c r="AB125" s="8" t="n">
        <x:f>IF(24='合同排期'!H19,'合同排期'!K19*'合同排期'!P19,0)+IF(24='合同排期'!S19,'合同排期'!K19*'合同排期'!Q19,0)+IF(24='合同排期'!I19,'合同排期'!K19*'合同排期'!R19,0)+IF(24='合同排期'!J19,'合同排期'!L19,0)</x:f>
        <x:v>0</x:v>
      </x:c>
    </x:row>
    <x:row r="126" ht="23" customHeight="1">
      <x:c r="A126" s="1"/>
      <x:c r="B126" s="1"/>
      <x:c r="C126" s="1" t="str">
        <x:v>E02</x:v>
      </x:c>
      <x:c r="D126" s="1" t="str">
        <x:v>回款</x:v>
      </x:c>
      <x:c r="E126" s="8" t="n">
        <x:f>IF(1&gt;'假设'!D27,INDEX($E125:$AB125,1,1-'假设'!D27),0)</x:f>
        <x:v>0</x:v>
      </x:c>
      <x:c r="F126" s="8" t="n">
        <x:f>IF(2&gt;'假设'!D27,INDEX($E125:$AB125,1,2-'假设'!D27),0)</x:f>
        <x:v>0</x:v>
      </x:c>
      <x:c r="G126" s="8" t="n">
        <x:f>IF(3&gt;'假设'!D27,INDEX($E125:$AB125,1,3-'假设'!D27),0)</x:f>
        <x:v>0</x:v>
      </x:c>
      <x:c r="H126" s="8" t="n">
        <x:f>IF(4&gt;'假设'!D27,INDEX($E125:$AB125,1,4-'假设'!D27),0)</x:f>
        <x:v>0</x:v>
      </x:c>
      <x:c r="I126" s="8" t="n">
        <x:f>IF(5&gt;'假设'!D27,INDEX($E125:$AB125,1,5-'假设'!D27),0)</x:f>
        <x:v>0</x:v>
      </x:c>
      <x:c r="J126" s="8" t="n">
        <x:f>IF(6&gt;'假设'!D27,INDEX($E125:$AB125,1,6-'假设'!D27),0)</x:f>
        <x:v>0</x:v>
      </x:c>
      <x:c r="K126" s="8" t="n">
        <x:f>IF(7&gt;'假设'!D27,INDEX($E125:$AB125,1,7-'假设'!D27),0)</x:f>
        <x:v>0</x:v>
      </x:c>
      <x:c r="L126" s="8" t="n">
        <x:f>IF(8&gt;'假设'!D27,INDEX($E125:$AB125,1,8-'假设'!D27),0)</x:f>
        <x:v>16.5</x:v>
      </x:c>
      <x:c r="M126" s="8" t="n">
        <x:f>IF(9&gt;'假设'!D27,INDEX($E125:$AB125,1,9-'假设'!D27),0)</x:f>
        <x:v>0</x:v>
      </x:c>
      <x:c r="N126" s="8" t="n">
        <x:f>IF(10&gt;'假设'!D27,INDEX($E125:$AB125,1,10-'假设'!D27),0)</x:f>
        <x:v>22</x:v>
      </x:c>
      <x:c r="O126" s="8" t="n">
        <x:f>IF(11&gt;'假设'!D27,INDEX($E125:$AB125,1,11-'假设'!D27),0)</x:f>
        <x:v>16.5</x:v>
      </x:c>
      <x:c r="P126" s="8" t="n">
        <x:f>IF(12&gt;'假设'!D27,INDEX($E125:$AB125,1,12-'假设'!D27),0)</x:f>
        <x:v>12</x:v>
      </x:c>
      <x:c r="Q126" s="8" t="n">
        <x:f>IF(13&gt;'假设'!D27,INDEX($E125:$AB125,1,13-'假设'!D27),0)</x:f>
        <x:v>0</x:v>
      </x:c>
      <x:c r="R126" s="8" t="n">
        <x:f>IF(14&gt;'假设'!D27,INDEX($E125:$AB125,1,14-'假设'!D27),0)</x:f>
        <x:v>0</x:v>
      </x:c>
      <x:c r="S126" s="8" t="n">
        <x:f>IF(15&gt;'假设'!D27,INDEX($E125:$AB125,1,15-'假设'!D27),0)</x:f>
        <x:v>0</x:v>
      </x:c>
      <x:c r="T126" s="8" t="n">
        <x:f>IF(16&gt;'假设'!D27,INDEX($E125:$AB125,1,16-'假设'!D27),0)</x:f>
        <x:v>0</x:v>
      </x:c>
      <x:c r="U126" s="8" t="n">
        <x:f>IF(17&gt;'假设'!D27,INDEX($E125:$AB125,1,17-'假设'!D27),0)</x:f>
        <x:v>0</x:v>
      </x:c>
      <x:c r="V126" s="8" t="n">
        <x:f>IF(18&gt;'假设'!D27,INDEX($E125:$AB125,1,18-'假设'!D27),0)</x:f>
        <x:v>0</x:v>
      </x:c>
      <x:c r="W126" s="8" t="n">
        <x:f>IF(19&gt;'假设'!D27,INDEX($E125:$AB125,1,19-'假设'!D27),0)</x:f>
        <x:v>0</x:v>
      </x:c>
      <x:c r="X126" s="8" t="n">
        <x:f>IF(20&gt;'假设'!D27,INDEX($E125:$AB125,1,20-'假设'!D27),0)</x:f>
        <x:v>0</x:v>
      </x:c>
      <x:c r="Y126" s="8" t="n">
        <x:f>IF(21&gt;'假设'!D27,INDEX($E125:$AB125,1,21-'假设'!D27),0)</x:f>
        <x:v>0</x:v>
      </x:c>
      <x:c r="Z126" s="8" t="n">
        <x:f>IF(22&gt;'假设'!D27,INDEX($E125:$AB125,1,22-'假设'!D27),0)</x:f>
        <x:v>0</x:v>
      </x:c>
      <x:c r="AA126" s="8" t="n">
        <x:f>IF(23&gt;'假设'!D27,INDEX($E125:$AB125,1,23-'假设'!D27),0)</x:f>
        <x:v>0</x:v>
      </x:c>
      <x:c r="AB126" s="8" t="n">
        <x:f>IF(24&gt;'假设'!D27,INDEX($E125:$AB125,1,24-'假设'!D27),0)</x:f>
        <x:v>0</x:v>
      </x:c>
    </x:row>
    <x:row r="127" ht="23" customHeight="1">
      <x:c r="A127" s="1"/>
      <x:c r="B127" s="1"/>
      <x:c r="C127" s="1" t="str">
        <x:v>E02</x:v>
      </x:c>
      <x:c r="D127" s="1" t="str">
        <x:v>直接损益成本</x:v>
      </x:c>
      <x:c r="E127" s="8" t="n">
        <x:f>IF(1='合同排期'!I19,'合同排期'!N19,0)+IF(AND(1&gt;='合同排期'!J19,1&lt;'合同排期'!J19+12),'合同排期'!O19,0)+E123*'假设'!D47</x:f>
        <x:v>0</x:v>
      </x:c>
      <x:c r="F127" s="8" t="n">
        <x:f>IF(2='合同排期'!I19,'合同排期'!N19,0)+IF(AND(2&gt;='合同排期'!J19,2&lt;'合同排期'!J19+12),'合同排期'!O19,0)+F123*'假设'!D47</x:f>
        <x:v>0</x:v>
      </x:c>
      <x:c r="G127" s="8" t="n">
        <x:f>IF(3='合同排期'!I19,'合同排期'!N19,0)+IF(AND(3&gt;='合同排期'!J19,3&lt;'合同排期'!J19+12),'合同排期'!O19,0)+G123*'假设'!D47</x:f>
        <x:v>0</x:v>
      </x:c>
      <x:c r="H127" s="8" t="n">
        <x:f>IF(4='合同排期'!I19,'合同排期'!N19,0)+IF(AND(4&gt;='合同排期'!J19,4&lt;'合同排期'!J19+12),'合同排期'!O19,0)+H123*'假设'!D47</x:f>
        <x:v>0</x:v>
      </x:c>
      <x:c r="I127" s="8" t="n">
        <x:f>IF(5='合同排期'!I19,'合同排期'!N19,0)+IF(AND(5&gt;='合同排期'!J19,5&lt;'合同排期'!J19+12),'合同排期'!O19,0)+I123*'假设'!D47</x:f>
        <x:v>0</x:v>
      </x:c>
      <x:c r="J127" s="8" t="n">
        <x:f>IF(6='合同排期'!I19,'合同排期'!N19,0)+IF(AND(6&gt;='合同排期'!J19,6&lt;'合同排期'!J19+12),'合同排期'!O19,0)+J123*'假设'!D47</x:f>
        <x:v>0</x:v>
      </x:c>
      <x:c r="K127" s="8" t="n">
        <x:f>IF(7='合同排期'!I19,'合同排期'!N19,0)+IF(AND(7&gt;='合同排期'!J19,7&lt;'合同排期'!J19+12),'合同排期'!O19,0)+K123*'假设'!D47</x:f>
        <x:v>3.35</x:v>
      </x:c>
      <x:c r="L127" s="8" t="n">
        <x:f>IF(8='合同排期'!I19,'合同排期'!N19,0)+IF(AND(8&gt;='合同排期'!J19,8&lt;'合同排期'!J19+12),'合同排期'!O19,0)+L123*'假设'!D47</x:f>
        <x:v>0</x:v>
      </x:c>
      <x:c r="M127" s="8" t="n">
        <x:f>IF(9='合同排期'!I19,'合同排期'!N19,0)+IF(AND(9&gt;='合同排期'!J19,9&lt;'合同排期'!J19+12),'合同排期'!O19,0)+M123*'假设'!D47</x:f>
        <x:v>0</x:v>
      </x:c>
      <x:c r="N127" s="8" t="n">
        <x:f>IF(10='合同排期'!I19,'合同排期'!N19,0)+IF(AND(10&gt;='合同排期'!J19,10&lt;'合同排期'!J19+12),'合同排期'!O19,0)+N123*'假设'!D47</x:f>
        <x:v>25.4</x:v>
      </x:c>
      <x:c r="O127" s="8" t="n">
        <x:f>IF(11='合同排期'!I19,'合同排期'!N19,0)+IF(AND(11&gt;='合同排期'!J19,11&lt;'合同排期'!J19+12),'合同排期'!O19,0)+O123*'假设'!D47</x:f>
        <x:v>0.3</x:v>
      </x:c>
      <x:c r="P127" s="8" t="n">
        <x:f>IF(12='合同排期'!I19,'合同排期'!N19,0)+IF(AND(12&gt;='合同排期'!J19,12&lt;'合同排期'!J19+12),'合同排期'!O19,0)+P123*'假设'!D47</x:f>
        <x:v>0.3</x:v>
      </x:c>
      <x:c r="Q127" s="8" t="n">
        <x:f>IF(13='合同排期'!I19,'合同排期'!N19,0)+IF(AND(13&gt;='合同排期'!J19,13&lt;'合同排期'!J19+12),'合同排期'!O19,0)+Q123*'假设'!D47</x:f>
        <x:v>0.3</x:v>
      </x:c>
      <x:c r="R127" s="8" t="n">
        <x:f>IF(14='合同排期'!I19,'合同排期'!N19,0)+IF(AND(14&gt;='合同排期'!J19,14&lt;'合同排期'!J19+12),'合同排期'!O19,0)+R123*'假设'!D47</x:f>
        <x:v>0.3</x:v>
      </x:c>
      <x:c r="S127" s="8" t="n">
        <x:f>IF(15='合同排期'!I19,'合同排期'!N19,0)+IF(AND(15&gt;='合同排期'!J19,15&lt;'合同排期'!J19+12),'合同排期'!O19,0)+S123*'假设'!D47</x:f>
        <x:v>0.3</x:v>
      </x:c>
      <x:c r="T127" s="8" t="n">
        <x:f>IF(16='合同排期'!I19,'合同排期'!N19,0)+IF(AND(16&gt;='合同排期'!J19,16&lt;'合同排期'!J19+12),'合同排期'!O19,0)+T123*'假设'!D47</x:f>
        <x:v>0.3</x:v>
      </x:c>
      <x:c r="U127" s="8" t="n">
        <x:f>IF(17='合同排期'!I19,'合同排期'!N19,0)+IF(AND(17&gt;='合同排期'!J19,17&lt;'合同排期'!J19+12),'合同排期'!O19,0)+U123*'假设'!D47</x:f>
        <x:v>0.3</x:v>
      </x:c>
      <x:c r="V127" s="8" t="n">
        <x:f>IF(18='合同排期'!I19,'合同排期'!N19,0)+IF(AND(18&gt;='合同排期'!J19,18&lt;'合同排期'!J19+12),'合同排期'!O19,0)+V123*'假设'!D47</x:f>
        <x:v>0.3</x:v>
      </x:c>
      <x:c r="W127" s="8" t="n">
        <x:f>IF(19='合同排期'!I19,'合同排期'!N19,0)+IF(AND(19&gt;='合同排期'!J19,19&lt;'合同排期'!J19+12),'合同排期'!O19,0)+W123*'假设'!D47</x:f>
        <x:v>0.3</x:v>
      </x:c>
      <x:c r="X127" s="8" t="n">
        <x:f>IF(20='合同排期'!I19,'合同排期'!N19,0)+IF(AND(20&gt;='合同排期'!J19,20&lt;'合同排期'!J19+12),'合同排期'!O19,0)+X123*'假设'!D47</x:f>
        <x:v>0.3</x:v>
      </x:c>
      <x:c r="Y127" s="8" t="n">
        <x:f>IF(21='合同排期'!I19,'合同排期'!N19,0)+IF(AND(21&gt;='合同排期'!J19,21&lt;'合同排期'!J19+12),'合同排期'!O19,0)+Y123*'假设'!D47</x:f>
        <x:v>0.3</x:v>
      </x:c>
      <x:c r="Z127" s="8" t="n">
        <x:f>IF(22='合同排期'!I19,'合同排期'!N19,0)+IF(AND(22&gt;='合同排期'!J19,22&lt;'合同排期'!J19+12),'合同排期'!O19,0)+Z123*'假设'!D47</x:f>
        <x:v>0.3</x:v>
      </x:c>
      <x:c r="AA127" s="8" t="n">
        <x:f>IF(23='合同排期'!I19,'合同排期'!N19,0)+IF(AND(23&gt;='合同排期'!J19,23&lt;'合同排期'!J19+12),'合同排期'!O19,0)+AA123*'假设'!D47</x:f>
        <x:v>0</x:v>
      </x:c>
      <x:c r="AB127" s="8" t="n">
        <x:f>IF(24='合同排期'!I19,'合同排期'!N19,0)+IF(AND(24&gt;='合同排期'!J19,24&lt;'合同排期'!J19+12),'合同排期'!O19,0)+AB123*'假设'!D47</x:f>
        <x:v>0</x:v>
      </x:c>
    </x:row>
    <x:row r="128" ht="23" customHeight="1">
      <x:c r="A128" s="1"/>
      <x:c r="B128" s="1"/>
      <x:c r="C128" s="1" t="str">
        <x:v>E02</x:v>
      </x:c>
      <x:c r="D128" s="1" t="str">
        <x:v>直接现金成本</x:v>
      </x:c>
      <x:c r="E128" s="8" t="n">
        <x:f>IF(AND(1&gt;='合同排期'!H19,1&lt;='合同排期'!I19),'合同排期'!N19/('合同排期'!I19-'合同排期'!H19+1),0)+IF(AND(1&gt;='合同排期'!J19,1&lt;'合同排期'!J19+12),'合同排期'!O19,0)+E126*'假设'!D47</x:f>
        <x:v>0</x:v>
      </x:c>
      <x:c r="F128" s="8" t="n">
        <x:f>IF(AND(2&gt;='合同排期'!H19,2&lt;='合同排期'!I19),'合同排期'!N19/('合同排期'!I19-'合同排期'!H19+1),0)+IF(AND(2&gt;='合同排期'!J19,2&lt;'合同排期'!J19+12),'合同排期'!O19,0)+F126*'假设'!D47</x:f>
        <x:v>0</x:v>
      </x:c>
      <x:c r="G128" s="8" t="n">
        <x:f>IF(AND(3&gt;='合同排期'!H19,3&lt;='合同排期'!I19),'合同排期'!N19/('合同排期'!I19-'合同排期'!H19+1),0)+IF(AND(3&gt;='合同排期'!J19,3&lt;'合同排期'!J19+12),'合同排期'!O19,0)+G126*'假设'!D47</x:f>
        <x:v>0</x:v>
      </x:c>
      <x:c r="H128" s="8" t="n">
        <x:f>IF(AND(4&gt;='合同排期'!H19,4&lt;='合同排期'!I19),'合同排期'!N19/('合同排期'!I19-'合同排期'!H19+1),0)+IF(AND(4&gt;='合同排期'!J19,4&lt;'合同排期'!J19+12),'合同排期'!O19,0)+H126*'假设'!D47</x:f>
        <x:v>0</x:v>
      </x:c>
      <x:c r="I128" s="8" t="n">
        <x:f>IF(AND(5&gt;='合同排期'!H19,5&lt;='合同排期'!I19),'合同排期'!N19/('合同排期'!I19-'合同排期'!H19+1),0)+IF(AND(5&gt;='合同排期'!J19,5&lt;'合同排期'!J19+12),'合同排期'!O19,0)+I126*'假设'!D47</x:f>
        <x:v>0</x:v>
      </x:c>
      <x:c r="J128" s="8" t="n">
        <x:f>IF(AND(6&gt;='合同排期'!H19,6&lt;='合同排期'!I19),'合同排期'!N19/('合同排期'!I19-'合同排期'!H19+1),0)+IF(AND(6&gt;='合同排期'!J19,6&lt;'合同排期'!J19+12),'合同排期'!O19,0)+J126*'假设'!D47</x:f>
        <x:v>0</x:v>
      </x:c>
      <x:c r="K128" s="8" t="n">
        <x:f>IF(AND(7&gt;='合同排期'!H19,7&lt;='合同排期'!I19),'合同排期'!N19/('合同排期'!I19-'合同排期'!H19+1),0)+IF(AND(7&gt;='合同排期'!J19,7&lt;'合同排期'!J19+12),'合同排期'!O19,0)+K126*'假设'!D47</x:f>
        <x:v>6.35</x:v>
      </x:c>
      <x:c r="L128" s="8" t="n">
        <x:f>IF(AND(8&gt;='合同排期'!H19,8&lt;='合同排期'!I19),'合同排期'!N19/('合同排期'!I19-'合同排期'!H19+1),0)+IF(AND(8&gt;='合同排期'!J19,8&lt;'合同排期'!J19+12),'合同排期'!O19,0)+L126*'假设'!D47</x:f>
        <x:v>7.175</x:v>
      </x:c>
      <x:c r="M128" s="8" t="n">
        <x:f>IF(AND(9&gt;='合同排期'!H19,9&lt;='合同排期'!I19),'合同排期'!N19/('合同排期'!I19-'合同排期'!H19+1),0)+IF(AND(9&gt;='合同排期'!J19,9&lt;'合同排期'!J19+12),'合同排期'!O19,0)+M126*'假设'!D47</x:f>
        <x:v>6.35</x:v>
      </x:c>
      <x:c r="N128" s="8" t="n">
        <x:f>IF(AND(10&gt;='合同排期'!H19,10&lt;='合同排期'!I19),'合同排期'!N19/('合同排期'!I19-'合同排期'!H19+1),0)+IF(AND(10&gt;='合同排期'!J19,10&lt;'合同排期'!J19+12),'合同排期'!O19,0)+N126*'假设'!D47</x:f>
        <x:v>7.449999999999999</x:v>
      </x:c>
      <x:c r="O128" s="8" t="n">
        <x:f>IF(AND(11&gt;='合同排期'!H19,11&lt;='合同排期'!I19),'合同排期'!N19/('合同排期'!I19-'合同排期'!H19+1),0)+IF(AND(11&gt;='合同排期'!J19,11&lt;'合同排期'!J19+12),'合同排期'!O19,0)+O126*'假设'!D47</x:f>
        <x:v>1.125</x:v>
      </x:c>
      <x:c r="P128" s="8" t="n">
        <x:f>IF(AND(12&gt;='合同排期'!H19,12&lt;='合同排期'!I19),'合同排期'!N19/('合同排期'!I19-'合同排期'!H19+1),0)+IF(AND(12&gt;='合同排期'!J19,12&lt;'合同排期'!J19+12),'合同排期'!O19,0)+P126*'假设'!D47</x:f>
        <x:v>0.9000000000000001</x:v>
      </x:c>
      <x:c r="Q128" s="8" t="n">
        <x:f>IF(AND(13&gt;='合同排期'!H19,13&lt;='合同排期'!I19),'合同排期'!N19/('合同排期'!I19-'合同排期'!H19+1),0)+IF(AND(13&gt;='合同排期'!J19,13&lt;'合同排期'!J19+12),'合同排期'!O19,0)+Q126*'假设'!D47</x:f>
        <x:v>0.3</x:v>
      </x:c>
      <x:c r="R128" s="8" t="n">
        <x:f>IF(AND(14&gt;='合同排期'!H19,14&lt;='合同排期'!I19),'合同排期'!N19/('合同排期'!I19-'合同排期'!H19+1),0)+IF(AND(14&gt;='合同排期'!J19,14&lt;'合同排期'!J19+12),'合同排期'!O19,0)+R126*'假设'!D47</x:f>
        <x:v>0.3</x:v>
      </x:c>
      <x:c r="S128" s="8" t="n">
        <x:f>IF(AND(15&gt;='合同排期'!H19,15&lt;='合同排期'!I19),'合同排期'!N19/('合同排期'!I19-'合同排期'!H19+1),0)+IF(AND(15&gt;='合同排期'!J19,15&lt;'合同排期'!J19+12),'合同排期'!O19,0)+S126*'假设'!D47</x:f>
        <x:v>0.3</x:v>
      </x:c>
      <x:c r="T128" s="8" t="n">
        <x:f>IF(AND(16&gt;='合同排期'!H19,16&lt;='合同排期'!I19),'合同排期'!N19/('合同排期'!I19-'合同排期'!H19+1),0)+IF(AND(16&gt;='合同排期'!J19,16&lt;'合同排期'!J19+12),'合同排期'!O19,0)+T126*'假设'!D47</x:f>
        <x:v>0.3</x:v>
      </x:c>
      <x:c r="U128" s="8" t="n">
        <x:f>IF(AND(17&gt;='合同排期'!H19,17&lt;='合同排期'!I19),'合同排期'!N19/('合同排期'!I19-'合同排期'!H19+1),0)+IF(AND(17&gt;='合同排期'!J19,17&lt;'合同排期'!J19+12),'合同排期'!O19,0)+U126*'假设'!D47</x:f>
        <x:v>0.3</x:v>
      </x:c>
      <x:c r="V128" s="8" t="n">
        <x:f>IF(AND(18&gt;='合同排期'!H19,18&lt;='合同排期'!I19),'合同排期'!N19/('合同排期'!I19-'合同排期'!H19+1),0)+IF(AND(18&gt;='合同排期'!J19,18&lt;'合同排期'!J19+12),'合同排期'!O19,0)+V126*'假设'!D47</x:f>
        <x:v>0.3</x:v>
      </x:c>
      <x:c r="W128" s="8" t="n">
        <x:f>IF(AND(19&gt;='合同排期'!H19,19&lt;='合同排期'!I19),'合同排期'!N19/('合同排期'!I19-'合同排期'!H19+1),0)+IF(AND(19&gt;='合同排期'!J19,19&lt;'合同排期'!J19+12),'合同排期'!O19,0)+W126*'假设'!D47</x:f>
        <x:v>0.3</x:v>
      </x:c>
      <x:c r="X128" s="8" t="n">
        <x:f>IF(AND(20&gt;='合同排期'!H19,20&lt;='合同排期'!I19),'合同排期'!N19/('合同排期'!I19-'合同排期'!H19+1),0)+IF(AND(20&gt;='合同排期'!J19,20&lt;'合同排期'!J19+12),'合同排期'!O19,0)+X126*'假设'!D47</x:f>
        <x:v>0.3</x:v>
      </x:c>
      <x:c r="Y128" s="8" t="n">
        <x:f>IF(AND(21&gt;='合同排期'!H19,21&lt;='合同排期'!I19),'合同排期'!N19/('合同排期'!I19-'合同排期'!H19+1),0)+IF(AND(21&gt;='合同排期'!J19,21&lt;'合同排期'!J19+12),'合同排期'!O19,0)+Y126*'假设'!D47</x:f>
        <x:v>0.3</x:v>
      </x:c>
      <x:c r="Z128" s="8" t="n">
        <x:f>IF(AND(22&gt;='合同排期'!H19,22&lt;='合同排期'!I19),'合同排期'!N19/('合同排期'!I19-'合同排期'!H19+1),0)+IF(AND(22&gt;='合同排期'!J19,22&lt;'合同排期'!J19+12),'合同排期'!O19,0)+Z126*'假设'!D47</x:f>
        <x:v>0.3</x:v>
      </x:c>
      <x:c r="AA128" s="8" t="n">
        <x:f>IF(AND(23&gt;='合同排期'!H19,23&lt;='合同排期'!I19),'合同排期'!N19/('合同排期'!I19-'合同排期'!H19+1),0)+IF(AND(23&gt;='合同排期'!J19,23&lt;'合同排期'!J19+12),'合同排期'!O19,0)+AA126*'假设'!D47</x:f>
        <x:v>0</x:v>
      </x:c>
      <x:c r="AB128" s="8" t="n">
        <x:f>IF(AND(24&gt;='合同排期'!H19,24&lt;='合同排期'!I19),'合同排期'!N19/('合同排期'!I19-'合同排期'!H19+1),0)+IF(AND(24&gt;='合同排期'!J19,24&lt;'合同排期'!J19+12),'合同排期'!O19,0)+AB126*'假设'!D47</x:f>
        <x:v>0</x:v>
      </x:c>
    </x:row>
    <x:row r="129" ht="23" customHeight="1">
      <x:c r="A129" s="1"/>
      <x:c r="B129" s="1"/>
      <x:c r="C129" s="1" t="str">
        <x:v>E02</x:v>
      </x:c>
      <x:c r="D129" s="1" t="str">
        <x:v>工程交付人月</x:v>
      </x:c>
      <x:c r="E129" s="8" t="n">
        <x:f>IF(AND(1&gt;='合同排期'!H19,1&lt;='合同排期'!I19),'合同排期'!M19/('合同排期'!I19-'合同排期'!H19+1),0)</x:f>
        <x:v>0</x:v>
      </x:c>
      <x:c r="F129" s="8" t="n">
        <x:f>IF(AND(2&gt;='合同排期'!H19,2&lt;='合同排期'!I19),'合同排期'!M19/('合同排期'!I19-'合同排期'!H19+1),0)</x:f>
        <x:v>0</x:v>
      </x:c>
      <x:c r="G129" s="8" t="n">
        <x:f>IF(AND(3&gt;='合同排期'!H19,3&lt;='合同排期'!I19),'合同排期'!M19/('合同排期'!I19-'合同排期'!H19+1),0)</x:f>
        <x:v>0</x:v>
      </x:c>
      <x:c r="H129" s="8" t="n">
        <x:f>IF(AND(4&gt;='合同排期'!H19,4&lt;='合同排期'!I19),'合同排期'!M19/('合同排期'!I19-'合同排期'!H19+1),0)</x:f>
        <x:v>0</x:v>
      </x:c>
      <x:c r="I129" s="8" t="n">
        <x:f>IF(AND(5&gt;='合同排期'!H19,5&lt;='合同排期'!I19),'合同排期'!M19/('合同排期'!I19-'合同排期'!H19+1),0)</x:f>
        <x:v>0</x:v>
      </x:c>
      <x:c r="J129" s="8" t="n">
        <x:f>IF(AND(6&gt;='合同排期'!H19,6&lt;='合同排期'!I19),'合同排期'!M19/('合同排期'!I19-'合同排期'!H19+1),0)</x:f>
        <x:v>0</x:v>
      </x:c>
      <x:c r="K129" s="8" t="n">
        <x:f>IF(AND(7&gt;='合同排期'!H19,7&lt;='合同排期'!I19),'合同排期'!M19/('合同排期'!I19-'合同排期'!H19+1),0)</x:f>
        <x:v>4.5</x:v>
      </x:c>
      <x:c r="L129" s="8" t="n">
        <x:f>IF(AND(8&gt;='合同排期'!H19,8&lt;='合同排期'!I19),'合同排期'!M19/('合同排期'!I19-'合同排期'!H19+1),0)</x:f>
        <x:v>4.5</x:v>
      </x:c>
      <x:c r="M129" s="8" t="n">
        <x:f>IF(AND(9&gt;='合同排期'!H19,9&lt;='合同排期'!I19),'合同排期'!M19/('合同排期'!I19-'合同排期'!H19+1),0)</x:f>
        <x:v>4.5</x:v>
      </x:c>
      <x:c r="N129" s="8" t="n">
        <x:f>IF(AND(10&gt;='合同排期'!H19,10&lt;='合同排期'!I19),'合同排期'!M19/('合同排期'!I19-'合同排期'!H19+1),0)</x:f>
        <x:v>4.5</x:v>
      </x:c>
      <x:c r="O129" s="8" t="n">
        <x:f>IF(AND(11&gt;='合同排期'!H19,11&lt;='合同排期'!I19),'合同排期'!M19/('合同排期'!I19-'合同排期'!H19+1),0)</x:f>
        <x:v>0</x:v>
      </x:c>
      <x:c r="P129" s="8" t="n">
        <x:f>IF(AND(12&gt;='合同排期'!H19,12&lt;='合同排期'!I19),'合同排期'!M19/('合同排期'!I19-'合同排期'!H19+1),0)</x:f>
        <x:v>0</x:v>
      </x:c>
      <x:c r="Q129" s="8" t="n">
        <x:f>IF(AND(13&gt;='合同排期'!H19,13&lt;='合同排期'!I19),'合同排期'!M19/('合同排期'!I19-'合同排期'!H19+1),0)</x:f>
        <x:v>0</x:v>
      </x:c>
      <x:c r="R129" s="8" t="n">
        <x:f>IF(AND(14&gt;='合同排期'!H19,14&lt;='合同排期'!I19),'合同排期'!M19/('合同排期'!I19-'合同排期'!H19+1),0)</x:f>
        <x:v>0</x:v>
      </x:c>
      <x:c r="S129" s="8" t="n">
        <x:f>IF(AND(15&gt;='合同排期'!H19,15&lt;='合同排期'!I19),'合同排期'!M19/('合同排期'!I19-'合同排期'!H19+1),0)</x:f>
        <x:v>0</x:v>
      </x:c>
      <x:c r="T129" s="8" t="n">
        <x:f>IF(AND(16&gt;='合同排期'!H19,16&lt;='合同排期'!I19),'合同排期'!M19/('合同排期'!I19-'合同排期'!H19+1),0)</x:f>
        <x:v>0</x:v>
      </x:c>
      <x:c r="U129" s="8" t="n">
        <x:f>IF(AND(17&gt;='合同排期'!H19,17&lt;='合同排期'!I19),'合同排期'!M19/('合同排期'!I19-'合同排期'!H19+1),0)</x:f>
        <x:v>0</x:v>
      </x:c>
      <x:c r="V129" s="8" t="n">
        <x:f>IF(AND(18&gt;='合同排期'!H19,18&lt;='合同排期'!I19),'合同排期'!M19/('合同排期'!I19-'合同排期'!H19+1),0)</x:f>
        <x:v>0</x:v>
      </x:c>
      <x:c r="W129" s="8" t="n">
        <x:f>IF(AND(19&gt;='合同排期'!H19,19&lt;='合同排期'!I19),'合同排期'!M19/('合同排期'!I19-'合同排期'!H19+1),0)</x:f>
        <x:v>0</x:v>
      </x:c>
      <x:c r="X129" s="8" t="n">
        <x:f>IF(AND(20&gt;='合同排期'!H19,20&lt;='合同排期'!I19),'合同排期'!M19/('合同排期'!I19-'合同排期'!H19+1),0)</x:f>
        <x:v>0</x:v>
      </x:c>
      <x:c r="Y129" s="8" t="n">
        <x:f>IF(AND(21&gt;='合同排期'!H19,21&lt;='合同排期'!I19),'合同排期'!M19/('合同排期'!I19-'合同排期'!H19+1),0)</x:f>
        <x:v>0</x:v>
      </x:c>
      <x:c r="Z129" s="8" t="n">
        <x:f>IF(AND(22&gt;='合同排期'!H19,22&lt;='合同排期'!I19),'合同排期'!M19/('合同排期'!I19-'合同排期'!H19+1),0)</x:f>
        <x:v>0</x:v>
      </x:c>
      <x:c r="AA129" s="8" t="n">
        <x:f>IF(AND(23&gt;='合同排期'!H19,23&lt;='合同排期'!I19),'合同排期'!M19/('合同排期'!I19-'合同排期'!H19+1),0)</x:f>
        <x:v>0</x:v>
      </x:c>
      <x:c r="AB129" s="8" t="n">
        <x:f>IF(AND(24&gt;='合同排期'!H19,24&lt;='合同排期'!I19),'合同排期'!M19/('合同排期'!I19-'合同排期'!H19+1),0)</x:f>
        <x:v>0</x:v>
      </x:c>
    </x:row>
    <x:row r="130" ht="23" customHeight="1">
      <x:c r="A130" s="1"/>
      <x:c r="B130" s="1"/>
      <x:c r="C130" s="1" t="str">
        <x:v>E02</x:v>
      </x:c>
      <x:c r="D130" s="1" t="str">
        <x:v>生效ARR</x:v>
      </x:c>
      <x:c r="E130" s="8" t="n">
        <x:f>IF(AND(1&gt;='合同排期'!J19,1&lt;'合同排期'!J19+12),'合同排期'!L19,0)</x:f>
        <x:v>0</x:v>
      </x:c>
      <x:c r="F130" s="8" t="n">
        <x:f>IF(AND(2&gt;='合同排期'!J19,2&lt;'合同排期'!J19+12),'合同排期'!L19,0)</x:f>
        <x:v>0</x:v>
      </x:c>
      <x:c r="G130" s="8" t="n">
        <x:f>IF(AND(3&gt;='合同排期'!J19,3&lt;'合同排期'!J19+12),'合同排期'!L19,0)</x:f>
        <x:v>0</x:v>
      </x:c>
      <x:c r="H130" s="8" t="n">
        <x:f>IF(AND(4&gt;='合同排期'!J19,4&lt;'合同排期'!J19+12),'合同排期'!L19,0)</x:f>
        <x:v>0</x:v>
      </x:c>
      <x:c r="I130" s="8" t="n">
        <x:f>IF(AND(5&gt;='合同排期'!J19,5&lt;'合同排期'!J19+12),'合同排期'!L19,0)</x:f>
        <x:v>0</x:v>
      </x:c>
      <x:c r="J130" s="8" t="n">
        <x:f>IF(AND(6&gt;='合同排期'!J19,6&lt;'合同排期'!J19+12),'合同排期'!L19,0)</x:f>
        <x:v>0</x:v>
      </x:c>
      <x:c r="K130" s="8" t="n">
        <x:f>IF(AND(7&gt;='合同排期'!J19,7&lt;'合同排期'!J19+12),'合同排期'!L19,0)</x:f>
        <x:v>0</x:v>
      </x:c>
      <x:c r="L130" s="8" t="n">
        <x:f>IF(AND(8&gt;='合同排期'!J19,8&lt;'合同排期'!J19+12),'合同排期'!L19,0)</x:f>
        <x:v>0</x:v>
      </x:c>
      <x:c r="M130" s="8" t="n">
        <x:f>IF(AND(9&gt;='合同排期'!J19,9&lt;'合同排期'!J19+12),'合同排期'!L19,0)</x:f>
        <x:v>0</x:v>
      </x:c>
      <x:c r="N130" s="8" t="n">
        <x:f>IF(AND(10&gt;='合同排期'!J19,10&lt;'合同排期'!J19+12),'合同排期'!L19,0)</x:f>
        <x:v>0</x:v>
      </x:c>
      <x:c r="O130" s="8" t="n">
        <x:f>IF(AND(11&gt;='合同排期'!J19,11&lt;'合同排期'!J19+12),'合同排期'!L19,0)</x:f>
        <x:v>12</x:v>
      </x:c>
      <x:c r="P130" s="8" t="n">
        <x:f>IF(AND(12&gt;='合同排期'!J19,12&lt;'合同排期'!J19+12),'合同排期'!L19,0)</x:f>
        <x:v>12</x:v>
      </x:c>
      <x:c r="Q130" s="8" t="n">
        <x:f>IF(AND(13&gt;='合同排期'!J19,13&lt;'合同排期'!J19+12),'合同排期'!L19,0)</x:f>
        <x:v>12</x:v>
      </x:c>
      <x:c r="R130" s="8" t="n">
        <x:f>IF(AND(14&gt;='合同排期'!J19,14&lt;'合同排期'!J19+12),'合同排期'!L19,0)</x:f>
        <x:v>12</x:v>
      </x:c>
      <x:c r="S130" s="8" t="n">
        <x:f>IF(AND(15&gt;='合同排期'!J19,15&lt;'合同排期'!J19+12),'合同排期'!L19,0)</x:f>
        <x:v>12</x:v>
      </x:c>
      <x:c r="T130" s="8" t="n">
        <x:f>IF(AND(16&gt;='合同排期'!J19,16&lt;'合同排期'!J19+12),'合同排期'!L19,0)</x:f>
        <x:v>12</x:v>
      </x:c>
      <x:c r="U130" s="8" t="n">
        <x:f>IF(AND(17&gt;='合同排期'!J19,17&lt;'合同排期'!J19+12),'合同排期'!L19,0)</x:f>
        <x:v>12</x:v>
      </x:c>
      <x:c r="V130" s="8" t="n">
        <x:f>IF(AND(18&gt;='合同排期'!J19,18&lt;'合同排期'!J19+12),'合同排期'!L19,0)</x:f>
        <x:v>12</x:v>
      </x:c>
      <x:c r="W130" s="8" t="n">
        <x:f>IF(AND(19&gt;='合同排期'!J19,19&lt;'合同排期'!J19+12),'合同排期'!L19,0)</x:f>
        <x:v>12</x:v>
      </x:c>
      <x:c r="X130" s="8" t="n">
        <x:f>IF(AND(20&gt;='合同排期'!J19,20&lt;'合同排期'!J19+12),'合同排期'!L19,0)</x:f>
        <x:v>12</x:v>
      </x:c>
      <x:c r="Y130" s="8" t="n">
        <x:f>IF(AND(21&gt;='合同排期'!J19,21&lt;'合同排期'!J19+12),'合同排期'!L19,0)</x:f>
        <x:v>12</x:v>
      </x:c>
      <x:c r="Z130" s="8" t="n">
        <x:f>IF(AND(22&gt;='合同排期'!J19,22&lt;'合同排期'!J19+12),'合同排期'!L19,0)</x:f>
        <x:v>12</x:v>
      </x:c>
      <x:c r="AA130" s="8" t="n">
        <x:f>IF(AND(23&gt;='合同排期'!J19,23&lt;'合同排期'!J19+12),'合同排期'!L19,0)</x:f>
        <x:v>0</x:v>
      </x:c>
      <x:c r="AB130" s="8" t="n">
        <x:f>IF(AND(24&gt;='合同排期'!J19,24&lt;'合同排期'!J19+12),'合同排期'!L19,0)</x:f>
        <x:v>0</x:v>
      </x:c>
    </x:row>
    <x:row r="131" ht="23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  <x:c r="AA131" s="1"/>
      <x:c r="AB131" s="1"/>
    </x:row>
    <x:row r="132" ht="23" customHeight="1">
      <x:c r="A132" s="1"/>
      <x:c r="B132" s="1"/>
      <x:c r="C132" s="1" t="str">
        <x:v>E03</x:v>
      </x:c>
      <x:c r="D132" s="1" t="str">
        <x:v>净签约</x:v>
      </x:c>
      <x:c r="E132" s="8" t="n">
        <x:f>IF(1='合同排期'!H20,'合同排期'!K20+'合同排期'!L20,0)</x:f>
        <x:v>0</x:v>
      </x:c>
      <x:c r="F132" s="8" t="n">
        <x:f>IF(2='合同排期'!H20,'合同排期'!K20+'合同排期'!L20,0)</x:f>
        <x:v>0</x:v>
      </x:c>
      <x:c r="G132" s="8" t="n">
        <x:f>IF(3='合同排期'!H20,'合同排期'!K20+'合同排期'!L20,0)</x:f>
        <x:v>0</x:v>
      </x:c>
      <x:c r="H132" s="8" t="n">
        <x:f>IF(4='合同排期'!H20,'合同排期'!K20+'合同排期'!L20,0)</x:f>
        <x:v>0</x:v>
      </x:c>
      <x:c r="I132" s="8" t="n">
        <x:f>IF(5='合同排期'!H20,'合同排期'!K20+'合同排期'!L20,0)</x:f>
        <x:v>0</x:v>
      </x:c>
      <x:c r="J132" s="8" t="n">
        <x:f>IF(6='合同排期'!H20,'合同排期'!K20+'合同排期'!L20,0)</x:f>
        <x:v>0</x:v>
      </x:c>
      <x:c r="K132" s="8" t="n">
        <x:f>IF(7='合同排期'!H20,'合同排期'!K20+'合同排期'!L20,0)</x:f>
        <x:v>0</x:v>
      </x:c>
      <x:c r="L132" s="8" t="n">
        <x:f>IF(8='合同排期'!H20,'合同排期'!K20+'合同排期'!L20,0)</x:f>
        <x:v>67</x:v>
      </x:c>
      <x:c r="M132" s="8" t="n">
        <x:f>IF(9='合同排期'!H20,'合同排期'!K20+'合同排期'!L20,0)</x:f>
        <x:v>0</x:v>
      </x:c>
      <x:c r="N132" s="8" t="n">
        <x:f>IF(10='合同排期'!H20,'合同排期'!K20+'合同排期'!L20,0)</x:f>
        <x:v>0</x:v>
      </x:c>
      <x:c r="O132" s="8" t="n">
        <x:f>IF(11='合同排期'!H20,'合同排期'!K20+'合同排期'!L20,0)</x:f>
        <x:v>0</x:v>
      </x:c>
      <x:c r="P132" s="8" t="n">
        <x:f>IF(12='合同排期'!H20,'合同排期'!K20+'合同排期'!L20,0)</x:f>
        <x:v>0</x:v>
      </x:c>
      <x:c r="Q132" s="8" t="n">
        <x:f>IF(13='合同排期'!H20,'合同排期'!K20+'合同排期'!L20,0)</x:f>
        <x:v>0</x:v>
      </x:c>
      <x:c r="R132" s="8" t="n">
        <x:f>IF(14='合同排期'!H20,'合同排期'!K20+'合同排期'!L20,0)</x:f>
        <x:v>0</x:v>
      </x:c>
      <x:c r="S132" s="8" t="n">
        <x:f>IF(15='合同排期'!H20,'合同排期'!K20+'合同排期'!L20,0)</x:f>
        <x:v>0</x:v>
      </x:c>
      <x:c r="T132" s="8" t="n">
        <x:f>IF(16='合同排期'!H20,'合同排期'!K20+'合同排期'!L20,0)</x:f>
        <x:v>0</x:v>
      </x:c>
      <x:c r="U132" s="8" t="n">
        <x:f>IF(17='合同排期'!H20,'合同排期'!K20+'合同排期'!L20,0)</x:f>
        <x:v>0</x:v>
      </x:c>
      <x:c r="V132" s="8" t="n">
        <x:f>IF(18='合同排期'!H20,'合同排期'!K20+'合同排期'!L20,0)</x:f>
        <x:v>0</x:v>
      </x:c>
      <x:c r="W132" s="8" t="n">
        <x:f>IF(19='合同排期'!H20,'合同排期'!K20+'合同排期'!L20,0)</x:f>
        <x:v>0</x:v>
      </x:c>
      <x:c r="X132" s="8" t="n">
        <x:f>IF(20='合同排期'!H20,'合同排期'!K20+'合同排期'!L20,0)</x:f>
        <x:v>0</x:v>
      </x:c>
      <x:c r="Y132" s="8" t="n">
        <x:f>IF(21='合同排期'!H20,'合同排期'!K20+'合同排期'!L20,0)</x:f>
        <x:v>0</x:v>
      </x:c>
      <x:c r="Z132" s="8" t="n">
        <x:f>IF(22='合同排期'!H20,'合同排期'!K20+'合同排期'!L20,0)</x:f>
        <x:v>0</x:v>
      </x:c>
      <x:c r="AA132" s="8" t="n">
        <x:f>IF(23='合同排期'!H20,'合同排期'!K20+'合同排期'!L20,0)</x:f>
        <x:v>0</x:v>
      </x:c>
      <x:c r="AB132" s="8" t="n">
        <x:f>IF(24='合同排期'!H20,'合同排期'!K20+'合同排期'!L20,0)</x:f>
        <x:v>0</x:v>
      </x:c>
    </x:row>
    <x:row r="133" ht="23" customHeight="1">
      <x:c r="A133" s="1"/>
      <x:c r="B133" s="1"/>
      <x:c r="C133" s="1" t="str">
        <x:v>E03</x:v>
      </x:c>
      <x:c r="D133" s="1" t="str">
        <x:v>确认收入</x:v>
      </x:c>
      <x:c r="E133" s="8" t="n">
        <x:f>IF(1='合同排期'!I20,'合同排期'!K20,0)+IF(AND(1&gt;='合同排期'!J20,1&lt;'合同排期'!J20+12),'合同排期'!L20/12,0)</x:f>
        <x:v>0</x:v>
      </x:c>
      <x:c r="F133" s="8" t="n">
        <x:f>IF(2='合同排期'!I20,'合同排期'!K20,0)+IF(AND(2&gt;='合同排期'!J20,2&lt;'合同排期'!J20+12),'合同排期'!L20/12,0)</x:f>
        <x:v>0</x:v>
      </x:c>
      <x:c r="G133" s="8" t="n">
        <x:f>IF(3='合同排期'!I20,'合同排期'!K20,0)+IF(AND(3&gt;='合同排期'!J20,3&lt;'合同排期'!J20+12),'合同排期'!L20/12,0)</x:f>
        <x:v>0</x:v>
      </x:c>
      <x:c r="H133" s="8" t="n">
        <x:f>IF(4='合同排期'!I20,'合同排期'!K20,0)+IF(AND(4&gt;='合同排期'!J20,4&lt;'合同排期'!J20+12),'合同排期'!L20/12,0)</x:f>
        <x:v>0</x:v>
      </x:c>
      <x:c r="I133" s="8" t="n">
        <x:f>IF(5='合同排期'!I20,'合同排期'!K20,0)+IF(AND(5&gt;='合同排期'!J20,5&lt;'合同排期'!J20+12),'合同排期'!L20/12,0)</x:f>
        <x:v>0</x:v>
      </x:c>
      <x:c r="J133" s="8" t="n">
        <x:f>IF(6='合同排期'!I20,'合同排期'!K20,0)+IF(AND(6&gt;='合同排期'!J20,6&lt;'合同排期'!J20+12),'合同排期'!L20/12,0)</x:f>
        <x:v>0</x:v>
      </x:c>
      <x:c r="K133" s="8" t="n">
        <x:f>IF(7='合同排期'!I20,'合同排期'!K20,0)+IF(AND(7&gt;='合同排期'!J20,7&lt;'合同排期'!J20+12),'合同排期'!L20/12,0)</x:f>
        <x:v>0</x:v>
      </x:c>
      <x:c r="L133" s="8" t="n">
        <x:f>IF(8='合同排期'!I20,'合同排期'!K20,0)+IF(AND(8&gt;='合同排期'!J20,8&lt;'合同排期'!J20+12),'合同排期'!L20/12,0)</x:f>
        <x:v>0</x:v>
      </x:c>
      <x:c r="M133" s="8" t="n">
        <x:f>IF(9='合同排期'!I20,'合同排期'!K20,0)+IF(AND(9&gt;='合同排期'!J20,9&lt;'合同排期'!J20+12),'合同排期'!L20/12,0)</x:f>
        <x:v>0</x:v>
      </x:c>
      <x:c r="N133" s="8" t="n">
        <x:f>IF(10='合同排期'!I20,'合同排期'!K20,0)+IF(AND(10&gt;='合同排期'!J20,10&lt;'合同排期'!J20+12),'合同排期'!L20/12,0)</x:f>
        <x:v>0</x:v>
      </x:c>
      <x:c r="O133" s="8" t="n">
        <x:f>IF(11='合同排期'!I20,'合同排期'!K20,0)+IF(AND(11&gt;='合同排期'!J20,11&lt;'合同排期'!J20+12),'合同排期'!L20/12,0)</x:f>
        <x:v>55</x:v>
      </x:c>
      <x:c r="P133" s="8" t="n">
        <x:f>IF(12='合同排期'!I20,'合同排期'!K20,0)+IF(AND(12&gt;='合同排期'!J20,12&lt;'合同排期'!J20+12),'合同排期'!L20/12,0)</x:f>
        <x:v>1</x:v>
      </x:c>
      <x:c r="Q133" s="8" t="n">
        <x:f>IF(13='合同排期'!I20,'合同排期'!K20,0)+IF(AND(13&gt;='合同排期'!J20,13&lt;'合同排期'!J20+12),'合同排期'!L20/12,0)</x:f>
        <x:v>1</x:v>
      </x:c>
      <x:c r="R133" s="8" t="n">
        <x:f>IF(14='合同排期'!I20,'合同排期'!K20,0)+IF(AND(14&gt;='合同排期'!J20,14&lt;'合同排期'!J20+12),'合同排期'!L20/12,0)</x:f>
        <x:v>1</x:v>
      </x:c>
      <x:c r="S133" s="8" t="n">
        <x:f>IF(15='合同排期'!I20,'合同排期'!K20,0)+IF(AND(15&gt;='合同排期'!J20,15&lt;'合同排期'!J20+12),'合同排期'!L20/12,0)</x:f>
        <x:v>1</x:v>
      </x:c>
      <x:c r="T133" s="8" t="n">
        <x:f>IF(16='合同排期'!I20,'合同排期'!K20,0)+IF(AND(16&gt;='合同排期'!J20,16&lt;'合同排期'!J20+12),'合同排期'!L20/12,0)</x:f>
        <x:v>1</x:v>
      </x:c>
      <x:c r="U133" s="8" t="n">
        <x:f>IF(17='合同排期'!I20,'合同排期'!K20,0)+IF(AND(17&gt;='合同排期'!J20,17&lt;'合同排期'!J20+12),'合同排期'!L20/12,0)</x:f>
        <x:v>1</x:v>
      </x:c>
      <x:c r="V133" s="8" t="n">
        <x:f>IF(18='合同排期'!I20,'合同排期'!K20,0)+IF(AND(18&gt;='合同排期'!J20,18&lt;'合同排期'!J20+12),'合同排期'!L20/12,0)</x:f>
        <x:v>1</x:v>
      </x:c>
      <x:c r="W133" s="8" t="n">
        <x:f>IF(19='合同排期'!I20,'合同排期'!K20,0)+IF(AND(19&gt;='合同排期'!J20,19&lt;'合同排期'!J20+12),'合同排期'!L20/12,0)</x:f>
        <x:v>1</x:v>
      </x:c>
      <x:c r="X133" s="8" t="n">
        <x:f>IF(20='合同排期'!I20,'合同排期'!K20,0)+IF(AND(20&gt;='合同排期'!J20,20&lt;'合同排期'!J20+12),'合同排期'!L20/12,0)</x:f>
        <x:v>1</x:v>
      </x:c>
      <x:c r="Y133" s="8" t="n">
        <x:f>IF(21='合同排期'!I20,'合同排期'!K20,0)+IF(AND(21&gt;='合同排期'!J20,21&lt;'合同排期'!J20+12),'合同排期'!L20/12,0)</x:f>
        <x:v>1</x:v>
      </x:c>
      <x:c r="Z133" s="8" t="n">
        <x:f>IF(22='合同排期'!I20,'合同排期'!K20,0)+IF(AND(22&gt;='合同排期'!J20,22&lt;'合同排期'!J20+12),'合同排期'!L20/12,0)</x:f>
        <x:v>1</x:v>
      </x:c>
      <x:c r="AA133" s="8" t="n">
        <x:f>IF(23='合同排期'!I20,'合同排期'!K20,0)+IF(AND(23&gt;='合同排期'!J20,23&lt;'合同排期'!J20+12),'合同排期'!L20/12,0)</x:f>
        <x:v>1</x:v>
      </x:c>
      <x:c r="AB133" s="8" t="n">
        <x:f>IF(24='合同排期'!I20,'合同排期'!K20,0)+IF(AND(24&gt;='合同排期'!J20,24&lt;'合同排期'!J20+12),'合同排期'!L20/12,0)</x:f>
        <x:v>0</x:v>
      </x:c>
    </x:row>
    <x:row r="134" ht="23" customHeight="1">
      <x:c r="A134" s="1"/>
      <x:c r="B134" s="1"/>
      <x:c r="C134" s="1" t="str">
        <x:v>E03</x:v>
      </x:c>
      <x:c r="D134" s="1" t="str">
        <x:v>开票</x:v>
      </x:c>
      <x:c r="E134" s="8" t="n">
        <x:f>IF(1='合同排期'!H20,'合同排期'!K20*'合同排期'!P20,0)+IF(1='合同排期'!S20,'合同排期'!K20*'合同排期'!Q20,0)+IF(1='合同排期'!I20,'合同排期'!K20*'合同排期'!R20,0)+IF(1='合同排期'!J20,'合同排期'!L20,0)</x:f>
        <x:v>0</x:v>
      </x:c>
      <x:c r="F134" s="8" t="n">
        <x:f>IF(2='合同排期'!H20,'合同排期'!K20*'合同排期'!P20,0)+IF(2='合同排期'!S20,'合同排期'!K20*'合同排期'!Q20,0)+IF(2='合同排期'!I20,'合同排期'!K20*'合同排期'!R20,0)+IF(2='合同排期'!J20,'合同排期'!L20,0)</x:f>
        <x:v>0</x:v>
      </x:c>
      <x:c r="G134" s="8" t="n">
        <x:f>IF(3='合同排期'!H20,'合同排期'!K20*'合同排期'!P20,0)+IF(3='合同排期'!S20,'合同排期'!K20*'合同排期'!Q20,0)+IF(3='合同排期'!I20,'合同排期'!K20*'合同排期'!R20,0)+IF(3='合同排期'!J20,'合同排期'!L20,0)</x:f>
        <x:v>0</x:v>
      </x:c>
      <x:c r="H134" s="8" t="n">
        <x:f>IF(4='合同排期'!H20,'合同排期'!K20*'合同排期'!P20,0)+IF(4='合同排期'!S20,'合同排期'!K20*'合同排期'!Q20,0)+IF(4='合同排期'!I20,'合同排期'!K20*'合同排期'!R20,0)+IF(4='合同排期'!J20,'合同排期'!L20,0)</x:f>
        <x:v>0</x:v>
      </x:c>
      <x:c r="I134" s="8" t="n">
        <x:f>IF(5='合同排期'!H20,'合同排期'!K20*'合同排期'!P20,0)+IF(5='合同排期'!S20,'合同排期'!K20*'合同排期'!Q20,0)+IF(5='合同排期'!I20,'合同排期'!K20*'合同排期'!R20,0)+IF(5='合同排期'!J20,'合同排期'!L20,0)</x:f>
        <x:v>0</x:v>
      </x:c>
      <x:c r="J134" s="8" t="n">
        <x:f>IF(6='合同排期'!H20,'合同排期'!K20*'合同排期'!P20,0)+IF(6='合同排期'!S20,'合同排期'!K20*'合同排期'!Q20,0)+IF(6='合同排期'!I20,'合同排期'!K20*'合同排期'!R20,0)+IF(6='合同排期'!J20,'合同排期'!L20,0)</x:f>
        <x:v>0</x:v>
      </x:c>
      <x:c r="K134" s="8" t="n">
        <x:f>IF(7='合同排期'!H20,'合同排期'!K20*'合同排期'!P20,0)+IF(7='合同排期'!S20,'合同排期'!K20*'合同排期'!Q20,0)+IF(7='合同排期'!I20,'合同排期'!K20*'合同排期'!R20,0)+IF(7='合同排期'!J20,'合同排期'!L20,0)</x:f>
        <x:v>0</x:v>
      </x:c>
      <x:c r="L134" s="8" t="n">
        <x:f>IF(8='合同排期'!H20,'合同排期'!K20*'合同排期'!P20,0)+IF(8='合同排期'!S20,'合同排期'!K20*'合同排期'!Q20,0)+IF(8='合同排期'!I20,'合同排期'!K20*'合同排期'!R20,0)+IF(8='合同排期'!J20,'合同排期'!L20,0)</x:f>
        <x:v>16.5</x:v>
      </x:c>
      <x:c r="M134" s="8" t="n">
        <x:f>IF(9='合同排期'!H20,'合同排期'!K20*'合同排期'!P20,0)+IF(9='合同排期'!S20,'合同排期'!K20*'合同排期'!Q20,0)+IF(9='合同排期'!I20,'合同排期'!K20*'合同排期'!R20,0)+IF(9='合同排期'!J20,'合同排期'!L20,0)</x:f>
        <x:v>0</x:v>
      </x:c>
      <x:c r="N134" s="8" t="n">
        <x:f>IF(10='合同排期'!H20,'合同排期'!K20*'合同排期'!P20,0)+IF(10='合同排期'!S20,'合同排期'!K20*'合同排期'!Q20,0)+IF(10='合同排期'!I20,'合同排期'!K20*'合同排期'!R20,0)+IF(10='合同排期'!J20,'合同排期'!L20,0)</x:f>
        <x:v>22</x:v>
      </x:c>
      <x:c r="O134" s="8" t="n">
        <x:f>IF(11='合同排期'!H20,'合同排期'!K20*'合同排期'!P20,0)+IF(11='合同排期'!S20,'合同排期'!K20*'合同排期'!Q20,0)+IF(11='合同排期'!I20,'合同排期'!K20*'合同排期'!R20,0)+IF(11='合同排期'!J20,'合同排期'!L20,0)</x:f>
        <x:v>16.5</x:v>
      </x:c>
      <x:c r="P134" s="8" t="n">
        <x:f>IF(12='合同排期'!H20,'合同排期'!K20*'合同排期'!P20,0)+IF(12='合同排期'!S20,'合同排期'!K20*'合同排期'!Q20,0)+IF(12='合同排期'!I20,'合同排期'!K20*'合同排期'!R20,0)+IF(12='合同排期'!J20,'合同排期'!L20,0)</x:f>
        <x:v>12</x:v>
      </x:c>
      <x:c r="Q134" s="8" t="n">
        <x:f>IF(13='合同排期'!H20,'合同排期'!K20*'合同排期'!P20,0)+IF(13='合同排期'!S20,'合同排期'!K20*'合同排期'!Q20,0)+IF(13='合同排期'!I20,'合同排期'!K20*'合同排期'!R20,0)+IF(13='合同排期'!J20,'合同排期'!L20,0)</x:f>
        <x:v>0</x:v>
      </x:c>
      <x:c r="R134" s="8" t="n">
        <x:f>IF(14='合同排期'!H20,'合同排期'!K20*'合同排期'!P20,0)+IF(14='合同排期'!S20,'合同排期'!K20*'合同排期'!Q20,0)+IF(14='合同排期'!I20,'合同排期'!K20*'合同排期'!R20,0)+IF(14='合同排期'!J20,'合同排期'!L20,0)</x:f>
        <x:v>0</x:v>
      </x:c>
      <x:c r="S134" s="8" t="n">
        <x:f>IF(15='合同排期'!H20,'合同排期'!K20*'合同排期'!P20,0)+IF(15='合同排期'!S20,'合同排期'!K20*'合同排期'!Q20,0)+IF(15='合同排期'!I20,'合同排期'!K20*'合同排期'!R20,0)+IF(15='合同排期'!J20,'合同排期'!L20,0)</x:f>
        <x:v>0</x:v>
      </x:c>
      <x:c r="T134" s="8" t="n">
        <x:f>IF(16='合同排期'!H20,'合同排期'!K20*'合同排期'!P20,0)+IF(16='合同排期'!S20,'合同排期'!K20*'合同排期'!Q20,0)+IF(16='合同排期'!I20,'合同排期'!K20*'合同排期'!R20,0)+IF(16='合同排期'!J20,'合同排期'!L20,0)</x:f>
        <x:v>0</x:v>
      </x:c>
      <x:c r="U134" s="8" t="n">
        <x:f>IF(17='合同排期'!H20,'合同排期'!K20*'合同排期'!P20,0)+IF(17='合同排期'!S20,'合同排期'!K20*'合同排期'!Q20,0)+IF(17='合同排期'!I20,'合同排期'!K20*'合同排期'!R20,0)+IF(17='合同排期'!J20,'合同排期'!L20,0)</x:f>
        <x:v>0</x:v>
      </x:c>
      <x:c r="V134" s="8" t="n">
        <x:f>IF(18='合同排期'!H20,'合同排期'!K20*'合同排期'!P20,0)+IF(18='合同排期'!S20,'合同排期'!K20*'合同排期'!Q20,0)+IF(18='合同排期'!I20,'合同排期'!K20*'合同排期'!R20,0)+IF(18='合同排期'!J20,'合同排期'!L20,0)</x:f>
        <x:v>0</x:v>
      </x:c>
      <x:c r="W134" s="8" t="n">
        <x:f>IF(19='合同排期'!H20,'合同排期'!K20*'合同排期'!P20,0)+IF(19='合同排期'!S20,'合同排期'!K20*'合同排期'!Q20,0)+IF(19='合同排期'!I20,'合同排期'!K20*'合同排期'!R20,0)+IF(19='合同排期'!J20,'合同排期'!L20,0)</x:f>
        <x:v>0</x:v>
      </x:c>
      <x:c r="X134" s="8" t="n">
        <x:f>IF(20='合同排期'!H20,'合同排期'!K20*'合同排期'!P20,0)+IF(20='合同排期'!S20,'合同排期'!K20*'合同排期'!Q20,0)+IF(20='合同排期'!I20,'合同排期'!K20*'合同排期'!R20,0)+IF(20='合同排期'!J20,'合同排期'!L20,0)</x:f>
        <x:v>0</x:v>
      </x:c>
      <x:c r="Y134" s="8" t="n">
        <x:f>IF(21='合同排期'!H20,'合同排期'!K20*'合同排期'!P20,0)+IF(21='合同排期'!S20,'合同排期'!K20*'合同排期'!Q20,0)+IF(21='合同排期'!I20,'合同排期'!K20*'合同排期'!R20,0)+IF(21='合同排期'!J20,'合同排期'!L20,0)</x:f>
        <x:v>0</x:v>
      </x:c>
      <x:c r="Z134" s="8" t="n">
        <x:f>IF(22='合同排期'!H20,'合同排期'!K20*'合同排期'!P20,0)+IF(22='合同排期'!S20,'合同排期'!K20*'合同排期'!Q20,0)+IF(22='合同排期'!I20,'合同排期'!K20*'合同排期'!R20,0)+IF(22='合同排期'!J20,'合同排期'!L20,0)</x:f>
        <x:v>0</x:v>
      </x:c>
      <x:c r="AA134" s="8" t="n">
        <x:f>IF(23='合同排期'!H20,'合同排期'!K20*'合同排期'!P20,0)+IF(23='合同排期'!S20,'合同排期'!K20*'合同排期'!Q20,0)+IF(23='合同排期'!I20,'合同排期'!K20*'合同排期'!R20,0)+IF(23='合同排期'!J20,'合同排期'!L20,0)</x:f>
        <x:v>0</x:v>
      </x:c>
      <x:c r="AB134" s="8" t="n">
        <x:f>IF(24='合同排期'!H20,'合同排期'!K20*'合同排期'!P20,0)+IF(24='合同排期'!S20,'合同排期'!K20*'合同排期'!Q20,0)+IF(24='合同排期'!I20,'合同排期'!K20*'合同排期'!R20,0)+IF(24='合同排期'!J20,'合同排期'!L20,0)</x:f>
        <x:v>0</x:v>
      </x:c>
    </x:row>
    <x:row r="135" ht="23" customHeight="1">
      <x:c r="A135" s="1"/>
      <x:c r="B135" s="1"/>
      <x:c r="C135" s="1" t="str">
        <x:v>E03</x:v>
      </x:c>
      <x:c r="D135" s="1" t="str">
        <x:v>回款</x:v>
      </x:c>
      <x:c r="E135" s="8" t="n">
        <x:f>IF(1&gt;'假设'!D27,INDEX($E134:$AB134,1,1-'假设'!D27),0)</x:f>
        <x:v>0</x:v>
      </x:c>
      <x:c r="F135" s="8" t="n">
        <x:f>IF(2&gt;'假设'!D27,INDEX($E134:$AB134,1,2-'假设'!D27),0)</x:f>
        <x:v>0</x:v>
      </x:c>
      <x:c r="G135" s="8" t="n">
        <x:f>IF(3&gt;'假设'!D27,INDEX($E134:$AB134,1,3-'假设'!D27),0)</x:f>
        <x:v>0</x:v>
      </x:c>
      <x:c r="H135" s="8" t="n">
        <x:f>IF(4&gt;'假设'!D27,INDEX($E134:$AB134,1,4-'假设'!D27),0)</x:f>
        <x:v>0</x:v>
      </x:c>
      <x:c r="I135" s="8" t="n">
        <x:f>IF(5&gt;'假设'!D27,INDEX($E134:$AB134,1,5-'假设'!D27),0)</x:f>
        <x:v>0</x:v>
      </x:c>
      <x:c r="J135" s="8" t="n">
        <x:f>IF(6&gt;'假设'!D27,INDEX($E134:$AB134,1,6-'假设'!D27),0)</x:f>
        <x:v>0</x:v>
      </x:c>
      <x:c r="K135" s="8" t="n">
        <x:f>IF(7&gt;'假设'!D27,INDEX($E134:$AB134,1,7-'假设'!D27),0)</x:f>
        <x:v>0</x:v>
      </x:c>
      <x:c r="L135" s="8" t="n">
        <x:f>IF(8&gt;'假设'!D27,INDEX($E134:$AB134,1,8-'假设'!D27),0)</x:f>
        <x:v>0</x:v>
      </x:c>
      <x:c r="M135" s="8" t="n">
        <x:f>IF(9&gt;'假设'!D27,INDEX($E134:$AB134,1,9-'假设'!D27),0)</x:f>
        <x:v>16.5</x:v>
      </x:c>
      <x:c r="N135" s="8" t="n">
        <x:f>IF(10&gt;'假设'!D27,INDEX($E134:$AB134,1,10-'假设'!D27),0)</x:f>
        <x:v>0</x:v>
      </x:c>
      <x:c r="O135" s="8" t="n">
        <x:f>IF(11&gt;'假设'!D27,INDEX($E134:$AB134,1,11-'假设'!D27),0)</x:f>
        <x:v>22</x:v>
      </x:c>
      <x:c r="P135" s="8" t="n">
        <x:f>IF(12&gt;'假设'!D27,INDEX($E134:$AB134,1,12-'假设'!D27),0)</x:f>
        <x:v>16.5</x:v>
      </x:c>
      <x:c r="Q135" s="8" t="n">
        <x:f>IF(13&gt;'假设'!D27,INDEX($E134:$AB134,1,13-'假设'!D27),0)</x:f>
        <x:v>12</x:v>
      </x:c>
      <x:c r="R135" s="8" t="n">
        <x:f>IF(14&gt;'假设'!D27,INDEX($E134:$AB134,1,14-'假设'!D27),0)</x:f>
        <x:v>0</x:v>
      </x:c>
      <x:c r="S135" s="8" t="n">
        <x:f>IF(15&gt;'假设'!D27,INDEX($E134:$AB134,1,15-'假设'!D27),0)</x:f>
        <x:v>0</x:v>
      </x:c>
      <x:c r="T135" s="8" t="n">
        <x:f>IF(16&gt;'假设'!D27,INDEX($E134:$AB134,1,16-'假设'!D27),0)</x:f>
        <x:v>0</x:v>
      </x:c>
      <x:c r="U135" s="8" t="n">
        <x:f>IF(17&gt;'假设'!D27,INDEX($E134:$AB134,1,17-'假设'!D27),0)</x:f>
        <x:v>0</x:v>
      </x:c>
      <x:c r="V135" s="8" t="n">
        <x:f>IF(18&gt;'假设'!D27,INDEX($E134:$AB134,1,18-'假设'!D27),0)</x:f>
        <x:v>0</x:v>
      </x:c>
      <x:c r="W135" s="8" t="n">
        <x:f>IF(19&gt;'假设'!D27,INDEX($E134:$AB134,1,19-'假设'!D27),0)</x:f>
        <x:v>0</x:v>
      </x:c>
      <x:c r="X135" s="8" t="n">
        <x:f>IF(20&gt;'假设'!D27,INDEX($E134:$AB134,1,20-'假设'!D27),0)</x:f>
        <x:v>0</x:v>
      </x:c>
      <x:c r="Y135" s="8" t="n">
        <x:f>IF(21&gt;'假设'!D27,INDEX($E134:$AB134,1,21-'假设'!D27),0)</x:f>
        <x:v>0</x:v>
      </x:c>
      <x:c r="Z135" s="8" t="n">
        <x:f>IF(22&gt;'假设'!D27,INDEX($E134:$AB134,1,22-'假设'!D27),0)</x:f>
        <x:v>0</x:v>
      </x:c>
      <x:c r="AA135" s="8" t="n">
        <x:f>IF(23&gt;'假设'!D27,INDEX($E134:$AB134,1,23-'假设'!D27),0)</x:f>
        <x:v>0</x:v>
      </x:c>
      <x:c r="AB135" s="8" t="n">
        <x:f>IF(24&gt;'假设'!D27,INDEX($E134:$AB134,1,24-'假设'!D27),0)</x:f>
        <x:v>0</x:v>
      </x:c>
    </x:row>
    <x:row r="136" ht="23" customHeight="1">
      <x:c r="A136" s="1"/>
      <x:c r="B136" s="1"/>
      <x:c r="C136" s="1" t="str">
        <x:v>E03</x:v>
      </x:c>
      <x:c r="D136" s="1" t="str">
        <x:v>直接损益成本</x:v>
      </x:c>
      <x:c r="E136" s="8" t="n">
        <x:f>IF(1='合同排期'!I20,'合同排期'!N20,0)+IF(AND(1&gt;='合同排期'!J20,1&lt;'合同排期'!J20+12),'合同排期'!O20,0)+E132*'假设'!D47</x:f>
        <x:v>0</x:v>
      </x:c>
      <x:c r="F136" s="8" t="n">
        <x:f>IF(2='合同排期'!I20,'合同排期'!N20,0)+IF(AND(2&gt;='合同排期'!J20,2&lt;'合同排期'!J20+12),'合同排期'!O20,0)+F132*'假设'!D47</x:f>
        <x:v>0</x:v>
      </x:c>
      <x:c r="G136" s="8" t="n">
        <x:f>IF(3='合同排期'!I20,'合同排期'!N20,0)+IF(AND(3&gt;='合同排期'!J20,3&lt;'合同排期'!J20+12),'合同排期'!O20,0)+G132*'假设'!D47</x:f>
        <x:v>0</x:v>
      </x:c>
      <x:c r="H136" s="8" t="n">
        <x:f>IF(4='合同排期'!I20,'合同排期'!N20,0)+IF(AND(4&gt;='合同排期'!J20,4&lt;'合同排期'!J20+12),'合同排期'!O20,0)+H132*'假设'!D47</x:f>
        <x:v>0</x:v>
      </x:c>
      <x:c r="I136" s="8" t="n">
        <x:f>IF(5='合同排期'!I20,'合同排期'!N20,0)+IF(AND(5&gt;='合同排期'!J20,5&lt;'合同排期'!J20+12),'合同排期'!O20,0)+I132*'假设'!D47</x:f>
        <x:v>0</x:v>
      </x:c>
      <x:c r="J136" s="8" t="n">
        <x:f>IF(6='合同排期'!I20,'合同排期'!N20,0)+IF(AND(6&gt;='合同排期'!J20,6&lt;'合同排期'!J20+12),'合同排期'!O20,0)+J132*'假设'!D47</x:f>
        <x:v>0</x:v>
      </x:c>
      <x:c r="K136" s="8" t="n">
        <x:f>IF(7='合同排期'!I20,'合同排期'!N20,0)+IF(AND(7&gt;='合同排期'!J20,7&lt;'合同排期'!J20+12),'合同排期'!O20,0)+K132*'假设'!D47</x:f>
        <x:v>0</x:v>
      </x:c>
      <x:c r="L136" s="8" t="n">
        <x:f>IF(8='合同排期'!I20,'合同排期'!N20,0)+IF(AND(8&gt;='合同排期'!J20,8&lt;'合同排期'!J20+12),'合同排期'!O20,0)+L132*'假设'!D47</x:f>
        <x:v>3.35</x:v>
      </x:c>
      <x:c r="M136" s="8" t="n">
        <x:f>IF(9='合同排期'!I20,'合同排期'!N20,0)+IF(AND(9&gt;='合同排期'!J20,9&lt;'合同排期'!J20+12),'合同排期'!O20,0)+M132*'假设'!D47</x:f>
        <x:v>0</x:v>
      </x:c>
      <x:c r="N136" s="8" t="n">
        <x:f>IF(10='合同排期'!I20,'合同排期'!N20,0)+IF(AND(10&gt;='合同排期'!J20,10&lt;'合同排期'!J20+12),'合同排期'!O20,0)+N132*'假设'!D47</x:f>
        <x:v>0</x:v>
      </x:c>
      <x:c r="O136" s="8" t="n">
        <x:f>IF(11='合同排期'!I20,'合同排期'!N20,0)+IF(AND(11&gt;='合同排期'!J20,11&lt;'合同排期'!J20+12),'合同排期'!O20,0)+O132*'假设'!D47</x:f>
        <x:v>25.4</x:v>
      </x:c>
      <x:c r="P136" s="8" t="n">
        <x:f>IF(12='合同排期'!I20,'合同排期'!N20,0)+IF(AND(12&gt;='合同排期'!J20,12&lt;'合同排期'!J20+12),'合同排期'!O20,0)+P132*'假设'!D47</x:f>
        <x:v>0.3</x:v>
      </x:c>
      <x:c r="Q136" s="8" t="n">
        <x:f>IF(13='合同排期'!I20,'合同排期'!N20,0)+IF(AND(13&gt;='合同排期'!J20,13&lt;'合同排期'!J20+12),'合同排期'!O20,0)+Q132*'假设'!D47</x:f>
        <x:v>0.3</x:v>
      </x:c>
      <x:c r="R136" s="8" t="n">
        <x:f>IF(14='合同排期'!I20,'合同排期'!N20,0)+IF(AND(14&gt;='合同排期'!J20,14&lt;'合同排期'!J20+12),'合同排期'!O20,0)+R132*'假设'!D47</x:f>
        <x:v>0.3</x:v>
      </x:c>
      <x:c r="S136" s="8" t="n">
        <x:f>IF(15='合同排期'!I20,'合同排期'!N20,0)+IF(AND(15&gt;='合同排期'!J20,15&lt;'合同排期'!J20+12),'合同排期'!O20,0)+S132*'假设'!D47</x:f>
        <x:v>0.3</x:v>
      </x:c>
      <x:c r="T136" s="8" t="n">
        <x:f>IF(16='合同排期'!I20,'合同排期'!N20,0)+IF(AND(16&gt;='合同排期'!J20,16&lt;'合同排期'!J20+12),'合同排期'!O20,0)+T132*'假设'!D47</x:f>
        <x:v>0.3</x:v>
      </x:c>
      <x:c r="U136" s="8" t="n">
        <x:f>IF(17='合同排期'!I20,'合同排期'!N20,0)+IF(AND(17&gt;='合同排期'!J20,17&lt;'合同排期'!J20+12),'合同排期'!O20,0)+U132*'假设'!D47</x:f>
        <x:v>0.3</x:v>
      </x:c>
      <x:c r="V136" s="8" t="n">
        <x:f>IF(18='合同排期'!I20,'合同排期'!N20,0)+IF(AND(18&gt;='合同排期'!J20,18&lt;'合同排期'!J20+12),'合同排期'!O20,0)+V132*'假设'!D47</x:f>
        <x:v>0.3</x:v>
      </x:c>
      <x:c r="W136" s="8" t="n">
        <x:f>IF(19='合同排期'!I20,'合同排期'!N20,0)+IF(AND(19&gt;='合同排期'!J20,19&lt;'合同排期'!J20+12),'合同排期'!O20,0)+W132*'假设'!D47</x:f>
        <x:v>0.3</x:v>
      </x:c>
      <x:c r="X136" s="8" t="n">
        <x:f>IF(20='合同排期'!I20,'合同排期'!N20,0)+IF(AND(20&gt;='合同排期'!J20,20&lt;'合同排期'!J20+12),'合同排期'!O20,0)+X132*'假设'!D47</x:f>
        <x:v>0.3</x:v>
      </x:c>
      <x:c r="Y136" s="8" t="n">
        <x:f>IF(21='合同排期'!I20,'合同排期'!N20,0)+IF(AND(21&gt;='合同排期'!J20,21&lt;'合同排期'!J20+12),'合同排期'!O20,0)+Y132*'假设'!D47</x:f>
        <x:v>0.3</x:v>
      </x:c>
      <x:c r="Z136" s="8" t="n">
        <x:f>IF(22='合同排期'!I20,'合同排期'!N20,0)+IF(AND(22&gt;='合同排期'!J20,22&lt;'合同排期'!J20+12),'合同排期'!O20,0)+Z132*'假设'!D47</x:f>
        <x:v>0.3</x:v>
      </x:c>
      <x:c r="AA136" s="8" t="n">
        <x:f>IF(23='合同排期'!I20,'合同排期'!N20,0)+IF(AND(23&gt;='合同排期'!J20,23&lt;'合同排期'!J20+12),'合同排期'!O20,0)+AA132*'假设'!D47</x:f>
        <x:v>0.3</x:v>
      </x:c>
      <x:c r="AB136" s="8" t="n">
        <x:f>IF(24='合同排期'!I20,'合同排期'!N20,0)+IF(AND(24&gt;='合同排期'!J20,24&lt;'合同排期'!J20+12),'合同排期'!O20,0)+AB132*'假设'!D47</x:f>
        <x:v>0</x:v>
      </x:c>
    </x:row>
    <x:row r="137" ht="23" customHeight="1">
      <x:c r="A137" s="1"/>
      <x:c r="B137" s="1"/>
      <x:c r="C137" s="1" t="str">
        <x:v>E03</x:v>
      </x:c>
      <x:c r="D137" s="1" t="str">
        <x:v>直接现金成本</x:v>
      </x:c>
      <x:c r="E137" s="8" t="n">
        <x:f>IF(AND(1&gt;='合同排期'!H20,1&lt;='合同排期'!I20),'合同排期'!N20/('合同排期'!I20-'合同排期'!H20+1),0)+IF(AND(1&gt;='合同排期'!J20,1&lt;'合同排期'!J20+12),'合同排期'!O20,0)+E135*'假设'!D47</x:f>
        <x:v>0</x:v>
      </x:c>
      <x:c r="F137" s="8" t="n">
        <x:f>IF(AND(2&gt;='合同排期'!H20,2&lt;='合同排期'!I20),'合同排期'!N20/('合同排期'!I20-'合同排期'!H20+1),0)+IF(AND(2&gt;='合同排期'!J20,2&lt;'合同排期'!J20+12),'合同排期'!O20,0)+F135*'假设'!D47</x:f>
        <x:v>0</x:v>
      </x:c>
      <x:c r="G137" s="8" t="n">
        <x:f>IF(AND(3&gt;='合同排期'!H20,3&lt;='合同排期'!I20),'合同排期'!N20/('合同排期'!I20-'合同排期'!H20+1),0)+IF(AND(3&gt;='合同排期'!J20,3&lt;'合同排期'!J20+12),'合同排期'!O20,0)+G135*'假设'!D47</x:f>
        <x:v>0</x:v>
      </x:c>
      <x:c r="H137" s="8" t="n">
        <x:f>IF(AND(4&gt;='合同排期'!H20,4&lt;='合同排期'!I20),'合同排期'!N20/('合同排期'!I20-'合同排期'!H20+1),0)+IF(AND(4&gt;='合同排期'!J20,4&lt;'合同排期'!J20+12),'合同排期'!O20,0)+H135*'假设'!D47</x:f>
        <x:v>0</x:v>
      </x:c>
      <x:c r="I137" s="8" t="n">
        <x:f>IF(AND(5&gt;='合同排期'!H20,5&lt;='合同排期'!I20),'合同排期'!N20/('合同排期'!I20-'合同排期'!H20+1),0)+IF(AND(5&gt;='合同排期'!J20,5&lt;'合同排期'!J20+12),'合同排期'!O20,0)+I135*'假设'!D47</x:f>
        <x:v>0</x:v>
      </x:c>
      <x:c r="J137" s="8" t="n">
        <x:f>IF(AND(6&gt;='合同排期'!H20,6&lt;='合同排期'!I20),'合同排期'!N20/('合同排期'!I20-'合同排期'!H20+1),0)+IF(AND(6&gt;='合同排期'!J20,6&lt;'合同排期'!J20+12),'合同排期'!O20,0)+J135*'假设'!D47</x:f>
        <x:v>0</x:v>
      </x:c>
      <x:c r="K137" s="8" t="n">
        <x:f>IF(AND(7&gt;='合同排期'!H20,7&lt;='合同排期'!I20),'合同排期'!N20/('合同排期'!I20-'合同排期'!H20+1),0)+IF(AND(7&gt;='合同排期'!J20,7&lt;'合同排期'!J20+12),'合同排期'!O20,0)+K135*'假设'!D47</x:f>
        <x:v>0</x:v>
      </x:c>
      <x:c r="L137" s="8" t="n">
        <x:f>IF(AND(8&gt;='合同排期'!H20,8&lt;='合同排期'!I20),'合同排期'!N20/('合同排期'!I20-'合同排期'!H20+1),0)+IF(AND(8&gt;='合同排期'!J20,8&lt;'合同排期'!J20+12),'合同排期'!O20,0)+L135*'假设'!D47</x:f>
        <x:v>6.35</x:v>
      </x:c>
      <x:c r="M137" s="8" t="n">
        <x:f>IF(AND(9&gt;='合同排期'!H20,9&lt;='合同排期'!I20),'合同排期'!N20/('合同排期'!I20-'合同排期'!H20+1),0)+IF(AND(9&gt;='合同排期'!J20,9&lt;'合同排期'!J20+12),'合同排期'!O20,0)+M135*'假设'!D47</x:f>
        <x:v>7.175</x:v>
      </x:c>
      <x:c r="N137" s="8" t="n">
        <x:f>IF(AND(10&gt;='合同排期'!H20,10&lt;='合同排期'!I20),'合同排期'!N20/('合同排期'!I20-'合同排期'!H20+1),0)+IF(AND(10&gt;='合同排期'!J20,10&lt;'合同排期'!J20+12),'合同排期'!O20,0)+N135*'假设'!D47</x:f>
        <x:v>6.35</x:v>
      </x:c>
      <x:c r="O137" s="8" t="n">
        <x:f>IF(AND(11&gt;='合同排期'!H20,11&lt;='合同排期'!I20),'合同排期'!N20/('合同排期'!I20-'合同排期'!H20+1),0)+IF(AND(11&gt;='合同排期'!J20,11&lt;'合同排期'!J20+12),'合同排期'!O20,0)+O135*'假设'!D47</x:f>
        <x:v>7.449999999999999</x:v>
      </x:c>
      <x:c r="P137" s="8" t="n">
        <x:f>IF(AND(12&gt;='合同排期'!H20,12&lt;='合同排期'!I20),'合同排期'!N20/('合同排期'!I20-'合同排期'!H20+1),0)+IF(AND(12&gt;='合同排期'!J20,12&lt;'合同排期'!J20+12),'合同排期'!O20,0)+P135*'假设'!D47</x:f>
        <x:v>1.125</x:v>
      </x:c>
      <x:c r="Q137" s="8" t="n">
        <x:f>IF(AND(13&gt;='合同排期'!H20,13&lt;='合同排期'!I20),'合同排期'!N20/('合同排期'!I20-'合同排期'!H20+1),0)+IF(AND(13&gt;='合同排期'!J20,13&lt;'合同排期'!J20+12),'合同排期'!O20,0)+Q135*'假设'!D47</x:f>
        <x:v>0.9000000000000001</x:v>
      </x:c>
      <x:c r="R137" s="8" t="n">
        <x:f>IF(AND(14&gt;='合同排期'!H20,14&lt;='合同排期'!I20),'合同排期'!N20/('合同排期'!I20-'合同排期'!H20+1),0)+IF(AND(14&gt;='合同排期'!J20,14&lt;'合同排期'!J20+12),'合同排期'!O20,0)+R135*'假设'!D47</x:f>
        <x:v>0.3</x:v>
      </x:c>
      <x:c r="S137" s="8" t="n">
        <x:f>IF(AND(15&gt;='合同排期'!H20,15&lt;='合同排期'!I20),'合同排期'!N20/('合同排期'!I20-'合同排期'!H20+1),0)+IF(AND(15&gt;='合同排期'!J20,15&lt;'合同排期'!J20+12),'合同排期'!O20,0)+S135*'假设'!D47</x:f>
        <x:v>0.3</x:v>
      </x:c>
      <x:c r="T137" s="8" t="n">
        <x:f>IF(AND(16&gt;='合同排期'!H20,16&lt;='合同排期'!I20),'合同排期'!N20/('合同排期'!I20-'合同排期'!H20+1),0)+IF(AND(16&gt;='合同排期'!J20,16&lt;'合同排期'!J20+12),'合同排期'!O20,0)+T135*'假设'!D47</x:f>
        <x:v>0.3</x:v>
      </x:c>
      <x:c r="U137" s="8" t="n">
        <x:f>IF(AND(17&gt;='合同排期'!H20,17&lt;='合同排期'!I20),'合同排期'!N20/('合同排期'!I20-'合同排期'!H20+1),0)+IF(AND(17&gt;='合同排期'!J20,17&lt;'合同排期'!J20+12),'合同排期'!O20,0)+U135*'假设'!D47</x:f>
        <x:v>0.3</x:v>
      </x:c>
      <x:c r="V137" s="8" t="n">
        <x:f>IF(AND(18&gt;='合同排期'!H20,18&lt;='合同排期'!I20),'合同排期'!N20/('合同排期'!I20-'合同排期'!H20+1),0)+IF(AND(18&gt;='合同排期'!J20,18&lt;'合同排期'!J20+12),'合同排期'!O20,0)+V135*'假设'!D47</x:f>
        <x:v>0.3</x:v>
      </x:c>
      <x:c r="W137" s="8" t="n">
        <x:f>IF(AND(19&gt;='合同排期'!H20,19&lt;='合同排期'!I20),'合同排期'!N20/('合同排期'!I20-'合同排期'!H20+1),0)+IF(AND(19&gt;='合同排期'!J20,19&lt;'合同排期'!J20+12),'合同排期'!O20,0)+W135*'假设'!D47</x:f>
        <x:v>0.3</x:v>
      </x:c>
      <x:c r="X137" s="8" t="n">
        <x:f>IF(AND(20&gt;='合同排期'!H20,20&lt;='合同排期'!I20),'合同排期'!N20/('合同排期'!I20-'合同排期'!H20+1),0)+IF(AND(20&gt;='合同排期'!J20,20&lt;'合同排期'!J20+12),'合同排期'!O20,0)+X135*'假设'!D47</x:f>
        <x:v>0.3</x:v>
      </x:c>
      <x:c r="Y137" s="8" t="n">
        <x:f>IF(AND(21&gt;='合同排期'!H20,21&lt;='合同排期'!I20),'合同排期'!N20/('合同排期'!I20-'合同排期'!H20+1),0)+IF(AND(21&gt;='合同排期'!J20,21&lt;'合同排期'!J20+12),'合同排期'!O20,0)+Y135*'假设'!D47</x:f>
        <x:v>0.3</x:v>
      </x:c>
      <x:c r="Z137" s="8" t="n">
        <x:f>IF(AND(22&gt;='合同排期'!H20,22&lt;='合同排期'!I20),'合同排期'!N20/('合同排期'!I20-'合同排期'!H20+1),0)+IF(AND(22&gt;='合同排期'!J20,22&lt;'合同排期'!J20+12),'合同排期'!O20,0)+Z135*'假设'!D47</x:f>
        <x:v>0.3</x:v>
      </x:c>
      <x:c r="AA137" s="8" t="n">
        <x:f>IF(AND(23&gt;='合同排期'!H20,23&lt;='合同排期'!I20),'合同排期'!N20/('合同排期'!I20-'合同排期'!H20+1),0)+IF(AND(23&gt;='合同排期'!J20,23&lt;'合同排期'!J20+12),'合同排期'!O20,0)+AA135*'假设'!D47</x:f>
        <x:v>0.3</x:v>
      </x:c>
      <x:c r="AB137" s="8" t="n">
        <x:f>IF(AND(24&gt;='合同排期'!H20,24&lt;='合同排期'!I20),'合同排期'!N20/('合同排期'!I20-'合同排期'!H20+1),0)+IF(AND(24&gt;='合同排期'!J20,24&lt;'合同排期'!J20+12),'合同排期'!O20,0)+AB135*'假设'!D47</x:f>
        <x:v>0</x:v>
      </x:c>
    </x:row>
    <x:row r="138" ht="23" customHeight="1">
      <x:c r="A138" s="1"/>
      <x:c r="B138" s="1"/>
      <x:c r="C138" s="1" t="str">
        <x:v>E03</x:v>
      </x:c>
      <x:c r="D138" s="1" t="str">
        <x:v>工程交付人月</x:v>
      </x:c>
      <x:c r="E138" s="8" t="n">
        <x:f>IF(AND(1&gt;='合同排期'!H20,1&lt;='合同排期'!I20),'合同排期'!M20/('合同排期'!I20-'合同排期'!H20+1),0)</x:f>
        <x:v>0</x:v>
      </x:c>
      <x:c r="F138" s="8" t="n">
        <x:f>IF(AND(2&gt;='合同排期'!H20,2&lt;='合同排期'!I20),'合同排期'!M20/('合同排期'!I20-'合同排期'!H20+1),0)</x:f>
        <x:v>0</x:v>
      </x:c>
      <x:c r="G138" s="8" t="n">
        <x:f>IF(AND(3&gt;='合同排期'!H20,3&lt;='合同排期'!I20),'合同排期'!M20/('合同排期'!I20-'合同排期'!H20+1),0)</x:f>
        <x:v>0</x:v>
      </x:c>
      <x:c r="H138" s="8" t="n">
        <x:f>IF(AND(4&gt;='合同排期'!H20,4&lt;='合同排期'!I20),'合同排期'!M20/('合同排期'!I20-'合同排期'!H20+1),0)</x:f>
        <x:v>0</x:v>
      </x:c>
      <x:c r="I138" s="8" t="n">
        <x:f>IF(AND(5&gt;='合同排期'!H20,5&lt;='合同排期'!I20),'合同排期'!M20/('合同排期'!I20-'合同排期'!H20+1),0)</x:f>
        <x:v>0</x:v>
      </x:c>
      <x:c r="J138" s="8" t="n">
        <x:f>IF(AND(6&gt;='合同排期'!H20,6&lt;='合同排期'!I20),'合同排期'!M20/('合同排期'!I20-'合同排期'!H20+1),0)</x:f>
        <x:v>0</x:v>
      </x:c>
      <x:c r="K138" s="8" t="n">
        <x:f>IF(AND(7&gt;='合同排期'!H20,7&lt;='合同排期'!I20),'合同排期'!M20/('合同排期'!I20-'合同排期'!H20+1),0)</x:f>
        <x:v>0</x:v>
      </x:c>
      <x:c r="L138" s="8" t="n">
        <x:f>IF(AND(8&gt;='合同排期'!H20,8&lt;='合同排期'!I20),'合同排期'!M20/('合同排期'!I20-'合同排期'!H20+1),0)</x:f>
        <x:v>4.5</x:v>
      </x:c>
      <x:c r="M138" s="8" t="n">
        <x:f>IF(AND(9&gt;='合同排期'!H20,9&lt;='合同排期'!I20),'合同排期'!M20/('合同排期'!I20-'合同排期'!H20+1),0)</x:f>
        <x:v>4.5</x:v>
      </x:c>
      <x:c r="N138" s="8" t="n">
        <x:f>IF(AND(10&gt;='合同排期'!H20,10&lt;='合同排期'!I20),'合同排期'!M20/('合同排期'!I20-'合同排期'!H20+1),0)</x:f>
        <x:v>4.5</x:v>
      </x:c>
      <x:c r="O138" s="8" t="n">
        <x:f>IF(AND(11&gt;='合同排期'!H20,11&lt;='合同排期'!I20),'合同排期'!M20/('合同排期'!I20-'合同排期'!H20+1),0)</x:f>
        <x:v>4.5</x:v>
      </x:c>
      <x:c r="P138" s="8" t="n">
        <x:f>IF(AND(12&gt;='合同排期'!H20,12&lt;='合同排期'!I20),'合同排期'!M20/('合同排期'!I20-'合同排期'!H20+1),0)</x:f>
        <x:v>0</x:v>
      </x:c>
      <x:c r="Q138" s="8" t="n">
        <x:f>IF(AND(13&gt;='合同排期'!H20,13&lt;='合同排期'!I20),'合同排期'!M20/('合同排期'!I20-'合同排期'!H20+1),0)</x:f>
        <x:v>0</x:v>
      </x:c>
      <x:c r="R138" s="8" t="n">
        <x:f>IF(AND(14&gt;='合同排期'!H20,14&lt;='合同排期'!I20),'合同排期'!M20/('合同排期'!I20-'合同排期'!H20+1),0)</x:f>
        <x:v>0</x:v>
      </x:c>
      <x:c r="S138" s="8" t="n">
        <x:f>IF(AND(15&gt;='合同排期'!H20,15&lt;='合同排期'!I20),'合同排期'!M20/('合同排期'!I20-'合同排期'!H20+1),0)</x:f>
        <x:v>0</x:v>
      </x:c>
      <x:c r="T138" s="8" t="n">
        <x:f>IF(AND(16&gt;='合同排期'!H20,16&lt;='合同排期'!I20),'合同排期'!M20/('合同排期'!I20-'合同排期'!H20+1),0)</x:f>
        <x:v>0</x:v>
      </x:c>
      <x:c r="U138" s="8" t="n">
        <x:f>IF(AND(17&gt;='合同排期'!H20,17&lt;='合同排期'!I20),'合同排期'!M20/('合同排期'!I20-'合同排期'!H20+1),0)</x:f>
        <x:v>0</x:v>
      </x:c>
      <x:c r="V138" s="8" t="n">
        <x:f>IF(AND(18&gt;='合同排期'!H20,18&lt;='合同排期'!I20),'合同排期'!M20/('合同排期'!I20-'合同排期'!H20+1),0)</x:f>
        <x:v>0</x:v>
      </x:c>
      <x:c r="W138" s="8" t="n">
        <x:f>IF(AND(19&gt;='合同排期'!H20,19&lt;='合同排期'!I20),'合同排期'!M20/('合同排期'!I20-'合同排期'!H20+1),0)</x:f>
        <x:v>0</x:v>
      </x:c>
      <x:c r="X138" s="8" t="n">
        <x:f>IF(AND(20&gt;='合同排期'!H20,20&lt;='合同排期'!I20),'合同排期'!M20/('合同排期'!I20-'合同排期'!H20+1),0)</x:f>
        <x:v>0</x:v>
      </x:c>
      <x:c r="Y138" s="8" t="n">
        <x:f>IF(AND(21&gt;='合同排期'!H20,21&lt;='合同排期'!I20),'合同排期'!M20/('合同排期'!I20-'合同排期'!H20+1),0)</x:f>
        <x:v>0</x:v>
      </x:c>
      <x:c r="Z138" s="8" t="n">
        <x:f>IF(AND(22&gt;='合同排期'!H20,22&lt;='合同排期'!I20),'合同排期'!M20/('合同排期'!I20-'合同排期'!H20+1),0)</x:f>
        <x:v>0</x:v>
      </x:c>
      <x:c r="AA138" s="8" t="n">
        <x:f>IF(AND(23&gt;='合同排期'!H20,23&lt;='合同排期'!I20),'合同排期'!M20/('合同排期'!I20-'合同排期'!H20+1),0)</x:f>
        <x:v>0</x:v>
      </x:c>
      <x:c r="AB138" s="8" t="n">
        <x:f>IF(AND(24&gt;='合同排期'!H20,24&lt;='合同排期'!I20),'合同排期'!M20/('合同排期'!I20-'合同排期'!H20+1),0)</x:f>
        <x:v>0</x:v>
      </x:c>
    </x:row>
    <x:row r="139" ht="23" customHeight="1">
      <x:c r="A139" s="1"/>
      <x:c r="B139" s="1"/>
      <x:c r="C139" s="1" t="str">
        <x:v>E03</x:v>
      </x:c>
      <x:c r="D139" s="1" t="str">
        <x:v>生效ARR</x:v>
      </x:c>
      <x:c r="E139" s="8" t="n">
        <x:f>IF(AND(1&gt;='合同排期'!J20,1&lt;'合同排期'!J20+12),'合同排期'!L20,0)</x:f>
        <x:v>0</x:v>
      </x:c>
      <x:c r="F139" s="8" t="n">
        <x:f>IF(AND(2&gt;='合同排期'!J20,2&lt;'合同排期'!J20+12),'合同排期'!L20,0)</x:f>
        <x:v>0</x:v>
      </x:c>
      <x:c r="G139" s="8" t="n">
        <x:f>IF(AND(3&gt;='合同排期'!J20,3&lt;'合同排期'!J20+12),'合同排期'!L20,0)</x:f>
        <x:v>0</x:v>
      </x:c>
      <x:c r="H139" s="8" t="n">
        <x:f>IF(AND(4&gt;='合同排期'!J20,4&lt;'合同排期'!J20+12),'合同排期'!L20,0)</x:f>
        <x:v>0</x:v>
      </x:c>
      <x:c r="I139" s="8" t="n">
        <x:f>IF(AND(5&gt;='合同排期'!J20,5&lt;'合同排期'!J20+12),'合同排期'!L20,0)</x:f>
        <x:v>0</x:v>
      </x:c>
      <x:c r="J139" s="8" t="n">
        <x:f>IF(AND(6&gt;='合同排期'!J20,6&lt;'合同排期'!J20+12),'合同排期'!L20,0)</x:f>
        <x:v>0</x:v>
      </x:c>
      <x:c r="K139" s="8" t="n">
        <x:f>IF(AND(7&gt;='合同排期'!J20,7&lt;'合同排期'!J20+12),'合同排期'!L20,0)</x:f>
        <x:v>0</x:v>
      </x:c>
      <x:c r="L139" s="8" t="n">
        <x:f>IF(AND(8&gt;='合同排期'!J20,8&lt;'合同排期'!J20+12),'合同排期'!L20,0)</x:f>
        <x:v>0</x:v>
      </x:c>
      <x:c r="M139" s="8" t="n">
        <x:f>IF(AND(9&gt;='合同排期'!J20,9&lt;'合同排期'!J20+12),'合同排期'!L20,0)</x:f>
        <x:v>0</x:v>
      </x:c>
      <x:c r="N139" s="8" t="n">
        <x:f>IF(AND(10&gt;='合同排期'!J20,10&lt;'合同排期'!J20+12),'合同排期'!L20,0)</x:f>
        <x:v>0</x:v>
      </x:c>
      <x:c r="O139" s="8" t="n">
        <x:f>IF(AND(11&gt;='合同排期'!J20,11&lt;'合同排期'!J20+12),'合同排期'!L20,0)</x:f>
        <x:v>0</x:v>
      </x:c>
      <x:c r="P139" s="8" t="n">
        <x:f>IF(AND(12&gt;='合同排期'!J20,12&lt;'合同排期'!J20+12),'合同排期'!L20,0)</x:f>
        <x:v>12</x:v>
      </x:c>
      <x:c r="Q139" s="8" t="n">
        <x:f>IF(AND(13&gt;='合同排期'!J20,13&lt;'合同排期'!J20+12),'合同排期'!L20,0)</x:f>
        <x:v>12</x:v>
      </x:c>
      <x:c r="R139" s="8" t="n">
        <x:f>IF(AND(14&gt;='合同排期'!J20,14&lt;'合同排期'!J20+12),'合同排期'!L20,0)</x:f>
        <x:v>12</x:v>
      </x:c>
      <x:c r="S139" s="8" t="n">
        <x:f>IF(AND(15&gt;='合同排期'!J20,15&lt;'合同排期'!J20+12),'合同排期'!L20,0)</x:f>
        <x:v>12</x:v>
      </x:c>
      <x:c r="T139" s="8" t="n">
        <x:f>IF(AND(16&gt;='合同排期'!J20,16&lt;'合同排期'!J20+12),'合同排期'!L20,0)</x:f>
        <x:v>12</x:v>
      </x:c>
      <x:c r="U139" s="8" t="n">
        <x:f>IF(AND(17&gt;='合同排期'!J20,17&lt;'合同排期'!J20+12),'合同排期'!L20,0)</x:f>
        <x:v>12</x:v>
      </x:c>
      <x:c r="V139" s="8" t="n">
        <x:f>IF(AND(18&gt;='合同排期'!J20,18&lt;'合同排期'!J20+12),'合同排期'!L20,0)</x:f>
        <x:v>12</x:v>
      </x:c>
      <x:c r="W139" s="8" t="n">
        <x:f>IF(AND(19&gt;='合同排期'!J20,19&lt;'合同排期'!J20+12),'合同排期'!L20,0)</x:f>
        <x:v>12</x:v>
      </x:c>
      <x:c r="X139" s="8" t="n">
        <x:f>IF(AND(20&gt;='合同排期'!J20,20&lt;'合同排期'!J20+12),'合同排期'!L20,0)</x:f>
        <x:v>12</x:v>
      </x:c>
      <x:c r="Y139" s="8" t="n">
        <x:f>IF(AND(21&gt;='合同排期'!J20,21&lt;'合同排期'!J20+12),'合同排期'!L20,0)</x:f>
        <x:v>12</x:v>
      </x:c>
      <x:c r="Z139" s="8" t="n">
        <x:f>IF(AND(22&gt;='合同排期'!J20,22&lt;'合同排期'!J20+12),'合同排期'!L20,0)</x:f>
        <x:v>12</x:v>
      </x:c>
      <x:c r="AA139" s="8" t="n">
        <x:f>IF(AND(23&gt;='合同排期'!J20,23&lt;'合同排期'!J20+12),'合同排期'!L20,0)</x:f>
        <x:v>12</x:v>
      </x:c>
      <x:c r="AB139" s="8" t="n">
        <x:f>IF(AND(24&gt;='合同排期'!J20,24&lt;'合同排期'!J20+12),'合同排期'!L20,0)</x:f>
        <x:v>0</x:v>
      </x:c>
    </x:row>
    <x:row r="140" ht="23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  <x:c r="AA140" s="1"/>
      <x:c r="AB140" s="1"/>
    </x:row>
    <x:row r="141" ht="23" customHeight="1">
      <x:c r="A141" s="1"/>
      <x:c r="B141" s="1"/>
      <x:c r="C141" s="1" t="str">
        <x:v>E04</x:v>
      </x:c>
      <x:c r="D141" s="1" t="str">
        <x:v>净签约</x:v>
      </x:c>
      <x:c r="E141" s="8" t="n">
        <x:f>IF(1='合同排期'!H21,'合同排期'!K21+'合同排期'!L21,0)</x:f>
        <x:v>0</x:v>
      </x:c>
      <x:c r="F141" s="8" t="n">
        <x:f>IF(2='合同排期'!H21,'合同排期'!K21+'合同排期'!L21,0)</x:f>
        <x:v>0</x:v>
      </x:c>
      <x:c r="G141" s="8" t="n">
        <x:f>IF(3='合同排期'!H21,'合同排期'!K21+'合同排期'!L21,0)</x:f>
        <x:v>0</x:v>
      </x:c>
      <x:c r="H141" s="8" t="n">
        <x:f>IF(4='合同排期'!H21,'合同排期'!K21+'合同排期'!L21,0)</x:f>
        <x:v>0</x:v>
      </x:c>
      <x:c r="I141" s="8" t="n">
        <x:f>IF(5='合同排期'!H21,'合同排期'!K21+'合同排期'!L21,0)</x:f>
        <x:v>0</x:v>
      </x:c>
      <x:c r="J141" s="8" t="n">
        <x:f>IF(6='合同排期'!H21,'合同排期'!K21+'合同排期'!L21,0)</x:f>
        <x:v>0</x:v>
      </x:c>
      <x:c r="K141" s="8" t="n">
        <x:f>IF(7='合同排期'!H21,'合同排期'!K21+'合同排期'!L21,0)</x:f>
        <x:v>0</x:v>
      </x:c>
      <x:c r="L141" s="8" t="n">
        <x:f>IF(8='合同排期'!H21,'合同排期'!K21+'合同排期'!L21,0)</x:f>
        <x:v>0</x:v>
      </x:c>
      <x:c r="M141" s="8" t="n">
        <x:f>IF(9='合同排期'!H21,'合同排期'!K21+'合同排期'!L21,0)</x:f>
        <x:v>67</x:v>
      </x:c>
      <x:c r="N141" s="8" t="n">
        <x:f>IF(10='合同排期'!H21,'合同排期'!K21+'合同排期'!L21,0)</x:f>
        <x:v>0</x:v>
      </x:c>
      <x:c r="O141" s="8" t="n">
        <x:f>IF(11='合同排期'!H21,'合同排期'!K21+'合同排期'!L21,0)</x:f>
        <x:v>0</x:v>
      </x:c>
      <x:c r="P141" s="8" t="n">
        <x:f>IF(12='合同排期'!H21,'合同排期'!K21+'合同排期'!L21,0)</x:f>
        <x:v>0</x:v>
      </x:c>
      <x:c r="Q141" s="8" t="n">
        <x:f>IF(13='合同排期'!H21,'合同排期'!K21+'合同排期'!L21,0)</x:f>
        <x:v>0</x:v>
      </x:c>
      <x:c r="R141" s="8" t="n">
        <x:f>IF(14='合同排期'!H21,'合同排期'!K21+'合同排期'!L21,0)</x:f>
        <x:v>0</x:v>
      </x:c>
      <x:c r="S141" s="8" t="n">
        <x:f>IF(15='合同排期'!H21,'合同排期'!K21+'合同排期'!L21,0)</x:f>
        <x:v>0</x:v>
      </x:c>
      <x:c r="T141" s="8" t="n">
        <x:f>IF(16='合同排期'!H21,'合同排期'!K21+'合同排期'!L21,0)</x:f>
        <x:v>0</x:v>
      </x:c>
      <x:c r="U141" s="8" t="n">
        <x:f>IF(17='合同排期'!H21,'合同排期'!K21+'合同排期'!L21,0)</x:f>
        <x:v>0</x:v>
      </x:c>
      <x:c r="V141" s="8" t="n">
        <x:f>IF(18='合同排期'!H21,'合同排期'!K21+'合同排期'!L21,0)</x:f>
        <x:v>0</x:v>
      </x:c>
      <x:c r="W141" s="8" t="n">
        <x:f>IF(19='合同排期'!H21,'合同排期'!K21+'合同排期'!L21,0)</x:f>
        <x:v>0</x:v>
      </x:c>
      <x:c r="X141" s="8" t="n">
        <x:f>IF(20='合同排期'!H21,'合同排期'!K21+'合同排期'!L21,0)</x:f>
        <x:v>0</x:v>
      </x:c>
      <x:c r="Y141" s="8" t="n">
        <x:f>IF(21='合同排期'!H21,'合同排期'!K21+'合同排期'!L21,0)</x:f>
        <x:v>0</x:v>
      </x:c>
      <x:c r="Z141" s="8" t="n">
        <x:f>IF(22='合同排期'!H21,'合同排期'!K21+'合同排期'!L21,0)</x:f>
        <x:v>0</x:v>
      </x:c>
      <x:c r="AA141" s="8" t="n">
        <x:f>IF(23='合同排期'!H21,'合同排期'!K21+'合同排期'!L21,0)</x:f>
        <x:v>0</x:v>
      </x:c>
      <x:c r="AB141" s="8" t="n">
        <x:f>IF(24='合同排期'!H21,'合同排期'!K21+'合同排期'!L21,0)</x:f>
        <x:v>0</x:v>
      </x:c>
    </x:row>
    <x:row r="142" ht="23" customHeight="1">
      <x:c r="A142" s="1"/>
      <x:c r="B142" s="1"/>
      <x:c r="C142" s="1" t="str">
        <x:v>E04</x:v>
      </x:c>
      <x:c r="D142" s="1" t="str">
        <x:v>确认收入</x:v>
      </x:c>
      <x:c r="E142" s="8" t="n">
        <x:f>IF(1='合同排期'!I21,'合同排期'!K21,0)+IF(AND(1&gt;='合同排期'!J21,1&lt;'合同排期'!J21+12),'合同排期'!L21/12,0)</x:f>
        <x:v>0</x:v>
      </x:c>
      <x:c r="F142" s="8" t="n">
        <x:f>IF(2='合同排期'!I21,'合同排期'!K21,0)+IF(AND(2&gt;='合同排期'!J21,2&lt;'合同排期'!J21+12),'合同排期'!L21/12,0)</x:f>
        <x:v>0</x:v>
      </x:c>
      <x:c r="G142" s="8" t="n">
        <x:f>IF(3='合同排期'!I21,'合同排期'!K21,0)+IF(AND(3&gt;='合同排期'!J21,3&lt;'合同排期'!J21+12),'合同排期'!L21/12,0)</x:f>
        <x:v>0</x:v>
      </x:c>
      <x:c r="H142" s="8" t="n">
        <x:f>IF(4='合同排期'!I21,'合同排期'!K21,0)+IF(AND(4&gt;='合同排期'!J21,4&lt;'合同排期'!J21+12),'合同排期'!L21/12,0)</x:f>
        <x:v>0</x:v>
      </x:c>
      <x:c r="I142" s="8" t="n">
        <x:f>IF(5='合同排期'!I21,'合同排期'!K21,0)+IF(AND(5&gt;='合同排期'!J21,5&lt;'合同排期'!J21+12),'合同排期'!L21/12,0)</x:f>
        <x:v>0</x:v>
      </x:c>
      <x:c r="J142" s="8" t="n">
        <x:f>IF(6='合同排期'!I21,'合同排期'!K21,0)+IF(AND(6&gt;='合同排期'!J21,6&lt;'合同排期'!J21+12),'合同排期'!L21/12,0)</x:f>
        <x:v>0</x:v>
      </x:c>
      <x:c r="K142" s="8" t="n">
        <x:f>IF(7='合同排期'!I21,'合同排期'!K21,0)+IF(AND(7&gt;='合同排期'!J21,7&lt;'合同排期'!J21+12),'合同排期'!L21/12,0)</x:f>
        <x:v>0</x:v>
      </x:c>
      <x:c r="L142" s="8" t="n">
        <x:f>IF(8='合同排期'!I21,'合同排期'!K21,0)+IF(AND(8&gt;='合同排期'!J21,8&lt;'合同排期'!J21+12),'合同排期'!L21/12,0)</x:f>
        <x:v>0</x:v>
      </x:c>
      <x:c r="M142" s="8" t="n">
        <x:f>IF(9='合同排期'!I21,'合同排期'!K21,0)+IF(AND(9&gt;='合同排期'!J21,9&lt;'合同排期'!J21+12),'合同排期'!L21/12,0)</x:f>
        <x:v>0</x:v>
      </x:c>
      <x:c r="N142" s="8" t="n">
        <x:f>IF(10='合同排期'!I21,'合同排期'!K21,0)+IF(AND(10&gt;='合同排期'!J21,10&lt;'合同排期'!J21+12),'合同排期'!L21/12,0)</x:f>
        <x:v>0</x:v>
      </x:c>
      <x:c r="O142" s="8" t="n">
        <x:f>IF(11='合同排期'!I21,'合同排期'!K21,0)+IF(AND(11&gt;='合同排期'!J21,11&lt;'合同排期'!J21+12),'合同排期'!L21/12,0)</x:f>
        <x:v>0</x:v>
      </x:c>
      <x:c r="P142" s="8" t="n">
        <x:f>IF(12='合同排期'!I21,'合同排期'!K21,0)+IF(AND(12&gt;='合同排期'!J21,12&lt;'合同排期'!J21+12),'合同排期'!L21/12,0)</x:f>
        <x:v>55</x:v>
      </x:c>
      <x:c r="Q142" s="8" t="n">
        <x:f>IF(13='合同排期'!I21,'合同排期'!K21,0)+IF(AND(13&gt;='合同排期'!J21,13&lt;'合同排期'!J21+12),'合同排期'!L21/12,0)</x:f>
        <x:v>1</x:v>
      </x:c>
      <x:c r="R142" s="8" t="n">
        <x:f>IF(14='合同排期'!I21,'合同排期'!K21,0)+IF(AND(14&gt;='合同排期'!J21,14&lt;'合同排期'!J21+12),'合同排期'!L21/12,0)</x:f>
        <x:v>1</x:v>
      </x:c>
      <x:c r="S142" s="8" t="n">
        <x:f>IF(15='合同排期'!I21,'合同排期'!K21,0)+IF(AND(15&gt;='合同排期'!J21,15&lt;'合同排期'!J21+12),'合同排期'!L21/12,0)</x:f>
        <x:v>1</x:v>
      </x:c>
      <x:c r="T142" s="8" t="n">
        <x:f>IF(16='合同排期'!I21,'合同排期'!K21,0)+IF(AND(16&gt;='合同排期'!J21,16&lt;'合同排期'!J21+12),'合同排期'!L21/12,0)</x:f>
        <x:v>1</x:v>
      </x:c>
      <x:c r="U142" s="8" t="n">
        <x:f>IF(17='合同排期'!I21,'合同排期'!K21,0)+IF(AND(17&gt;='合同排期'!J21,17&lt;'合同排期'!J21+12),'合同排期'!L21/12,0)</x:f>
        <x:v>1</x:v>
      </x:c>
      <x:c r="V142" s="8" t="n">
        <x:f>IF(18='合同排期'!I21,'合同排期'!K21,0)+IF(AND(18&gt;='合同排期'!J21,18&lt;'合同排期'!J21+12),'合同排期'!L21/12,0)</x:f>
        <x:v>1</x:v>
      </x:c>
      <x:c r="W142" s="8" t="n">
        <x:f>IF(19='合同排期'!I21,'合同排期'!K21,0)+IF(AND(19&gt;='合同排期'!J21,19&lt;'合同排期'!J21+12),'合同排期'!L21/12,0)</x:f>
        <x:v>1</x:v>
      </x:c>
      <x:c r="X142" s="8" t="n">
        <x:f>IF(20='合同排期'!I21,'合同排期'!K21,0)+IF(AND(20&gt;='合同排期'!J21,20&lt;'合同排期'!J21+12),'合同排期'!L21/12,0)</x:f>
        <x:v>1</x:v>
      </x:c>
      <x:c r="Y142" s="8" t="n">
        <x:f>IF(21='合同排期'!I21,'合同排期'!K21,0)+IF(AND(21&gt;='合同排期'!J21,21&lt;'合同排期'!J21+12),'合同排期'!L21/12,0)</x:f>
        <x:v>1</x:v>
      </x:c>
      <x:c r="Z142" s="8" t="n">
        <x:f>IF(22='合同排期'!I21,'合同排期'!K21,0)+IF(AND(22&gt;='合同排期'!J21,22&lt;'合同排期'!J21+12),'合同排期'!L21/12,0)</x:f>
        <x:v>1</x:v>
      </x:c>
      <x:c r="AA142" s="8" t="n">
        <x:f>IF(23='合同排期'!I21,'合同排期'!K21,0)+IF(AND(23&gt;='合同排期'!J21,23&lt;'合同排期'!J21+12),'合同排期'!L21/12,0)</x:f>
        <x:v>1</x:v>
      </x:c>
      <x:c r="AB142" s="8" t="n">
        <x:f>IF(24='合同排期'!I21,'合同排期'!K21,0)+IF(AND(24&gt;='合同排期'!J21,24&lt;'合同排期'!J21+12),'合同排期'!L21/12,0)</x:f>
        <x:v>1</x:v>
      </x:c>
    </x:row>
    <x:row r="143" ht="23" customHeight="1">
      <x:c r="A143" s="1"/>
      <x:c r="B143" s="1"/>
      <x:c r="C143" s="1" t="str">
        <x:v>E04</x:v>
      </x:c>
      <x:c r="D143" s="1" t="str">
        <x:v>开票</x:v>
      </x:c>
      <x:c r="E143" s="8" t="n">
        <x:f>IF(1='合同排期'!H21,'合同排期'!K21*'合同排期'!P21,0)+IF(1='合同排期'!S21,'合同排期'!K21*'合同排期'!Q21,0)+IF(1='合同排期'!I21,'合同排期'!K21*'合同排期'!R21,0)+IF(1='合同排期'!J21,'合同排期'!L21,0)</x:f>
        <x:v>0</x:v>
      </x:c>
      <x:c r="F143" s="8" t="n">
        <x:f>IF(2='合同排期'!H21,'合同排期'!K21*'合同排期'!P21,0)+IF(2='合同排期'!S21,'合同排期'!K21*'合同排期'!Q21,0)+IF(2='合同排期'!I21,'合同排期'!K21*'合同排期'!R21,0)+IF(2='合同排期'!J21,'合同排期'!L21,0)</x:f>
        <x:v>0</x:v>
      </x:c>
      <x:c r="G143" s="8" t="n">
        <x:f>IF(3='合同排期'!H21,'合同排期'!K21*'合同排期'!P21,0)+IF(3='合同排期'!S21,'合同排期'!K21*'合同排期'!Q21,0)+IF(3='合同排期'!I21,'合同排期'!K21*'合同排期'!R21,0)+IF(3='合同排期'!J21,'合同排期'!L21,0)</x:f>
        <x:v>0</x:v>
      </x:c>
      <x:c r="H143" s="8" t="n">
        <x:f>IF(4='合同排期'!H21,'合同排期'!K21*'合同排期'!P21,0)+IF(4='合同排期'!S21,'合同排期'!K21*'合同排期'!Q21,0)+IF(4='合同排期'!I21,'合同排期'!K21*'合同排期'!R21,0)+IF(4='合同排期'!J21,'合同排期'!L21,0)</x:f>
        <x:v>0</x:v>
      </x:c>
      <x:c r="I143" s="8" t="n">
        <x:f>IF(5='合同排期'!H21,'合同排期'!K21*'合同排期'!P21,0)+IF(5='合同排期'!S21,'合同排期'!K21*'合同排期'!Q21,0)+IF(5='合同排期'!I21,'合同排期'!K21*'合同排期'!R21,0)+IF(5='合同排期'!J21,'合同排期'!L21,0)</x:f>
        <x:v>0</x:v>
      </x:c>
      <x:c r="J143" s="8" t="n">
        <x:f>IF(6='合同排期'!H21,'合同排期'!K21*'合同排期'!P21,0)+IF(6='合同排期'!S21,'合同排期'!K21*'合同排期'!Q21,0)+IF(6='合同排期'!I21,'合同排期'!K21*'合同排期'!R21,0)+IF(6='合同排期'!J21,'合同排期'!L21,0)</x:f>
        <x:v>0</x:v>
      </x:c>
      <x:c r="K143" s="8" t="n">
        <x:f>IF(7='合同排期'!H21,'合同排期'!K21*'合同排期'!P21,0)+IF(7='合同排期'!S21,'合同排期'!K21*'合同排期'!Q21,0)+IF(7='合同排期'!I21,'合同排期'!K21*'合同排期'!R21,0)+IF(7='合同排期'!J21,'合同排期'!L21,0)</x:f>
        <x:v>0</x:v>
      </x:c>
      <x:c r="L143" s="8" t="n">
        <x:f>IF(8='合同排期'!H21,'合同排期'!K21*'合同排期'!P21,0)+IF(8='合同排期'!S21,'合同排期'!K21*'合同排期'!Q21,0)+IF(8='合同排期'!I21,'合同排期'!K21*'合同排期'!R21,0)+IF(8='合同排期'!J21,'合同排期'!L21,0)</x:f>
        <x:v>0</x:v>
      </x:c>
      <x:c r="M143" s="8" t="n">
        <x:f>IF(9='合同排期'!H21,'合同排期'!K21*'合同排期'!P21,0)+IF(9='合同排期'!S21,'合同排期'!K21*'合同排期'!Q21,0)+IF(9='合同排期'!I21,'合同排期'!K21*'合同排期'!R21,0)+IF(9='合同排期'!J21,'合同排期'!L21,0)</x:f>
        <x:v>16.5</x:v>
      </x:c>
      <x:c r="N143" s="8" t="n">
        <x:f>IF(10='合同排期'!H21,'合同排期'!K21*'合同排期'!P21,0)+IF(10='合同排期'!S21,'合同排期'!K21*'合同排期'!Q21,0)+IF(10='合同排期'!I21,'合同排期'!K21*'合同排期'!R21,0)+IF(10='合同排期'!J21,'合同排期'!L21,0)</x:f>
        <x:v>0</x:v>
      </x:c>
      <x:c r="O143" s="8" t="n">
        <x:f>IF(11='合同排期'!H21,'合同排期'!K21*'合同排期'!P21,0)+IF(11='合同排期'!S21,'合同排期'!K21*'合同排期'!Q21,0)+IF(11='合同排期'!I21,'合同排期'!K21*'合同排期'!R21,0)+IF(11='合同排期'!J21,'合同排期'!L21,0)</x:f>
        <x:v>22</x:v>
      </x:c>
      <x:c r="P143" s="8" t="n">
        <x:f>IF(12='合同排期'!H21,'合同排期'!K21*'合同排期'!P21,0)+IF(12='合同排期'!S21,'合同排期'!K21*'合同排期'!Q21,0)+IF(12='合同排期'!I21,'合同排期'!K21*'合同排期'!R21,0)+IF(12='合同排期'!J21,'合同排期'!L21,0)</x:f>
        <x:v>16.5</x:v>
      </x:c>
      <x:c r="Q143" s="8" t="n">
        <x:f>IF(13='合同排期'!H21,'合同排期'!K21*'合同排期'!P21,0)+IF(13='合同排期'!S21,'合同排期'!K21*'合同排期'!Q21,0)+IF(13='合同排期'!I21,'合同排期'!K21*'合同排期'!R21,0)+IF(13='合同排期'!J21,'合同排期'!L21,0)</x:f>
        <x:v>12</x:v>
      </x:c>
      <x:c r="R143" s="8" t="n">
        <x:f>IF(14='合同排期'!H21,'合同排期'!K21*'合同排期'!P21,0)+IF(14='合同排期'!S21,'合同排期'!K21*'合同排期'!Q21,0)+IF(14='合同排期'!I21,'合同排期'!K21*'合同排期'!R21,0)+IF(14='合同排期'!J21,'合同排期'!L21,0)</x:f>
        <x:v>0</x:v>
      </x:c>
      <x:c r="S143" s="8" t="n">
        <x:f>IF(15='合同排期'!H21,'合同排期'!K21*'合同排期'!P21,0)+IF(15='合同排期'!S21,'合同排期'!K21*'合同排期'!Q21,0)+IF(15='合同排期'!I21,'合同排期'!K21*'合同排期'!R21,0)+IF(15='合同排期'!J21,'合同排期'!L21,0)</x:f>
        <x:v>0</x:v>
      </x:c>
      <x:c r="T143" s="8" t="n">
        <x:f>IF(16='合同排期'!H21,'合同排期'!K21*'合同排期'!P21,0)+IF(16='合同排期'!S21,'合同排期'!K21*'合同排期'!Q21,0)+IF(16='合同排期'!I21,'合同排期'!K21*'合同排期'!R21,0)+IF(16='合同排期'!J21,'合同排期'!L21,0)</x:f>
        <x:v>0</x:v>
      </x:c>
      <x:c r="U143" s="8" t="n">
        <x:f>IF(17='合同排期'!H21,'合同排期'!K21*'合同排期'!P21,0)+IF(17='合同排期'!S21,'合同排期'!K21*'合同排期'!Q21,0)+IF(17='合同排期'!I21,'合同排期'!K21*'合同排期'!R21,0)+IF(17='合同排期'!J21,'合同排期'!L21,0)</x:f>
        <x:v>0</x:v>
      </x:c>
      <x:c r="V143" s="8" t="n">
        <x:f>IF(18='合同排期'!H21,'合同排期'!K21*'合同排期'!P21,0)+IF(18='合同排期'!S21,'合同排期'!K21*'合同排期'!Q21,0)+IF(18='合同排期'!I21,'合同排期'!K21*'合同排期'!R21,0)+IF(18='合同排期'!J21,'合同排期'!L21,0)</x:f>
        <x:v>0</x:v>
      </x:c>
      <x:c r="W143" s="8" t="n">
        <x:f>IF(19='合同排期'!H21,'合同排期'!K21*'合同排期'!P21,0)+IF(19='合同排期'!S21,'合同排期'!K21*'合同排期'!Q21,0)+IF(19='合同排期'!I21,'合同排期'!K21*'合同排期'!R21,0)+IF(19='合同排期'!J21,'合同排期'!L21,0)</x:f>
        <x:v>0</x:v>
      </x:c>
      <x:c r="X143" s="8" t="n">
        <x:f>IF(20='合同排期'!H21,'合同排期'!K21*'合同排期'!P21,0)+IF(20='合同排期'!S21,'合同排期'!K21*'合同排期'!Q21,0)+IF(20='合同排期'!I21,'合同排期'!K21*'合同排期'!R21,0)+IF(20='合同排期'!J21,'合同排期'!L21,0)</x:f>
        <x:v>0</x:v>
      </x:c>
      <x:c r="Y143" s="8" t="n">
        <x:f>IF(21='合同排期'!H21,'合同排期'!K21*'合同排期'!P21,0)+IF(21='合同排期'!S21,'合同排期'!K21*'合同排期'!Q21,0)+IF(21='合同排期'!I21,'合同排期'!K21*'合同排期'!R21,0)+IF(21='合同排期'!J21,'合同排期'!L21,0)</x:f>
        <x:v>0</x:v>
      </x:c>
      <x:c r="Z143" s="8" t="n">
        <x:f>IF(22='合同排期'!H21,'合同排期'!K21*'合同排期'!P21,0)+IF(22='合同排期'!S21,'合同排期'!K21*'合同排期'!Q21,0)+IF(22='合同排期'!I21,'合同排期'!K21*'合同排期'!R21,0)+IF(22='合同排期'!J21,'合同排期'!L21,0)</x:f>
        <x:v>0</x:v>
      </x:c>
      <x:c r="AA143" s="8" t="n">
        <x:f>IF(23='合同排期'!H21,'合同排期'!K21*'合同排期'!P21,0)+IF(23='合同排期'!S21,'合同排期'!K21*'合同排期'!Q21,0)+IF(23='合同排期'!I21,'合同排期'!K21*'合同排期'!R21,0)+IF(23='合同排期'!J21,'合同排期'!L21,0)</x:f>
        <x:v>0</x:v>
      </x:c>
      <x:c r="AB143" s="8" t="n">
        <x:f>IF(24='合同排期'!H21,'合同排期'!K21*'合同排期'!P21,0)+IF(24='合同排期'!S21,'合同排期'!K21*'合同排期'!Q21,0)+IF(24='合同排期'!I21,'合同排期'!K21*'合同排期'!R21,0)+IF(24='合同排期'!J21,'合同排期'!L21,0)</x:f>
        <x:v>0</x:v>
      </x:c>
    </x:row>
    <x:row r="144" ht="23" customHeight="1">
      <x:c r="A144" s="1"/>
      <x:c r="B144" s="1"/>
      <x:c r="C144" s="1" t="str">
        <x:v>E04</x:v>
      </x:c>
      <x:c r="D144" s="1" t="str">
        <x:v>回款</x:v>
      </x:c>
      <x:c r="E144" s="8" t="n">
        <x:f>IF(1&gt;'假设'!D27,INDEX($E143:$AB143,1,1-'假设'!D27),0)</x:f>
        <x:v>0</x:v>
      </x:c>
      <x:c r="F144" s="8" t="n">
        <x:f>IF(2&gt;'假设'!D27,INDEX($E143:$AB143,1,2-'假设'!D27),0)</x:f>
        <x:v>0</x:v>
      </x:c>
      <x:c r="G144" s="8" t="n">
        <x:f>IF(3&gt;'假设'!D27,INDEX($E143:$AB143,1,3-'假设'!D27),0)</x:f>
        <x:v>0</x:v>
      </x:c>
      <x:c r="H144" s="8" t="n">
        <x:f>IF(4&gt;'假设'!D27,INDEX($E143:$AB143,1,4-'假设'!D27),0)</x:f>
        <x:v>0</x:v>
      </x:c>
      <x:c r="I144" s="8" t="n">
        <x:f>IF(5&gt;'假设'!D27,INDEX($E143:$AB143,1,5-'假设'!D27),0)</x:f>
        <x:v>0</x:v>
      </x:c>
      <x:c r="J144" s="8" t="n">
        <x:f>IF(6&gt;'假设'!D27,INDEX($E143:$AB143,1,6-'假设'!D27),0)</x:f>
        <x:v>0</x:v>
      </x:c>
      <x:c r="K144" s="8" t="n">
        <x:f>IF(7&gt;'假设'!D27,INDEX($E143:$AB143,1,7-'假设'!D27),0)</x:f>
        <x:v>0</x:v>
      </x:c>
      <x:c r="L144" s="8" t="n">
        <x:f>IF(8&gt;'假设'!D27,INDEX($E143:$AB143,1,8-'假设'!D27),0)</x:f>
        <x:v>0</x:v>
      </x:c>
      <x:c r="M144" s="8" t="n">
        <x:f>IF(9&gt;'假设'!D27,INDEX($E143:$AB143,1,9-'假设'!D27),0)</x:f>
        <x:v>0</x:v>
      </x:c>
      <x:c r="N144" s="8" t="n">
        <x:f>IF(10&gt;'假设'!D27,INDEX($E143:$AB143,1,10-'假设'!D27),0)</x:f>
        <x:v>16.5</x:v>
      </x:c>
      <x:c r="O144" s="8" t="n">
        <x:f>IF(11&gt;'假设'!D27,INDEX($E143:$AB143,1,11-'假设'!D27),0)</x:f>
        <x:v>0</x:v>
      </x:c>
      <x:c r="P144" s="8" t="n">
        <x:f>IF(12&gt;'假设'!D27,INDEX($E143:$AB143,1,12-'假设'!D27),0)</x:f>
        <x:v>22</x:v>
      </x:c>
      <x:c r="Q144" s="8" t="n">
        <x:f>IF(13&gt;'假设'!D27,INDEX($E143:$AB143,1,13-'假设'!D27),0)</x:f>
        <x:v>16.5</x:v>
      </x:c>
      <x:c r="R144" s="8" t="n">
        <x:f>IF(14&gt;'假设'!D27,INDEX($E143:$AB143,1,14-'假设'!D27),0)</x:f>
        <x:v>12</x:v>
      </x:c>
      <x:c r="S144" s="8" t="n">
        <x:f>IF(15&gt;'假设'!D27,INDEX($E143:$AB143,1,15-'假设'!D27),0)</x:f>
        <x:v>0</x:v>
      </x:c>
      <x:c r="T144" s="8" t="n">
        <x:f>IF(16&gt;'假设'!D27,INDEX($E143:$AB143,1,16-'假设'!D27),0)</x:f>
        <x:v>0</x:v>
      </x:c>
      <x:c r="U144" s="8" t="n">
        <x:f>IF(17&gt;'假设'!D27,INDEX($E143:$AB143,1,17-'假设'!D27),0)</x:f>
        <x:v>0</x:v>
      </x:c>
      <x:c r="V144" s="8" t="n">
        <x:f>IF(18&gt;'假设'!D27,INDEX($E143:$AB143,1,18-'假设'!D27),0)</x:f>
        <x:v>0</x:v>
      </x:c>
      <x:c r="W144" s="8" t="n">
        <x:f>IF(19&gt;'假设'!D27,INDEX($E143:$AB143,1,19-'假设'!D27),0)</x:f>
        <x:v>0</x:v>
      </x:c>
      <x:c r="X144" s="8" t="n">
        <x:f>IF(20&gt;'假设'!D27,INDEX($E143:$AB143,1,20-'假设'!D27),0)</x:f>
        <x:v>0</x:v>
      </x:c>
      <x:c r="Y144" s="8" t="n">
        <x:f>IF(21&gt;'假设'!D27,INDEX($E143:$AB143,1,21-'假设'!D27),0)</x:f>
        <x:v>0</x:v>
      </x:c>
      <x:c r="Z144" s="8" t="n">
        <x:f>IF(22&gt;'假设'!D27,INDEX($E143:$AB143,1,22-'假设'!D27),0)</x:f>
        <x:v>0</x:v>
      </x:c>
      <x:c r="AA144" s="8" t="n">
        <x:f>IF(23&gt;'假设'!D27,INDEX($E143:$AB143,1,23-'假设'!D27),0)</x:f>
        <x:v>0</x:v>
      </x:c>
      <x:c r="AB144" s="8" t="n">
        <x:f>IF(24&gt;'假设'!D27,INDEX($E143:$AB143,1,24-'假设'!D27),0)</x:f>
        <x:v>0</x:v>
      </x:c>
    </x:row>
    <x:row r="145" ht="23" customHeight="1">
      <x:c r="A145" s="1"/>
      <x:c r="B145" s="1"/>
      <x:c r="C145" s="1" t="str">
        <x:v>E04</x:v>
      </x:c>
      <x:c r="D145" s="1" t="str">
        <x:v>直接损益成本</x:v>
      </x:c>
      <x:c r="E145" s="8" t="n">
        <x:f>IF(1='合同排期'!I21,'合同排期'!N21,0)+IF(AND(1&gt;='合同排期'!J21,1&lt;'合同排期'!J21+12),'合同排期'!O21,0)+E141*'假设'!D47</x:f>
        <x:v>0</x:v>
      </x:c>
      <x:c r="F145" s="8" t="n">
        <x:f>IF(2='合同排期'!I21,'合同排期'!N21,0)+IF(AND(2&gt;='合同排期'!J21,2&lt;'合同排期'!J21+12),'合同排期'!O21,0)+F141*'假设'!D47</x:f>
        <x:v>0</x:v>
      </x:c>
      <x:c r="G145" s="8" t="n">
        <x:f>IF(3='合同排期'!I21,'合同排期'!N21,0)+IF(AND(3&gt;='合同排期'!J21,3&lt;'合同排期'!J21+12),'合同排期'!O21,0)+G141*'假设'!D47</x:f>
        <x:v>0</x:v>
      </x:c>
      <x:c r="H145" s="8" t="n">
        <x:f>IF(4='合同排期'!I21,'合同排期'!N21,0)+IF(AND(4&gt;='合同排期'!J21,4&lt;'合同排期'!J21+12),'合同排期'!O21,0)+H141*'假设'!D47</x:f>
        <x:v>0</x:v>
      </x:c>
      <x:c r="I145" s="8" t="n">
        <x:f>IF(5='合同排期'!I21,'合同排期'!N21,0)+IF(AND(5&gt;='合同排期'!J21,5&lt;'合同排期'!J21+12),'合同排期'!O21,0)+I141*'假设'!D47</x:f>
        <x:v>0</x:v>
      </x:c>
      <x:c r="J145" s="8" t="n">
        <x:f>IF(6='合同排期'!I21,'合同排期'!N21,0)+IF(AND(6&gt;='合同排期'!J21,6&lt;'合同排期'!J21+12),'合同排期'!O21,0)+J141*'假设'!D47</x:f>
        <x:v>0</x:v>
      </x:c>
      <x:c r="K145" s="8" t="n">
        <x:f>IF(7='合同排期'!I21,'合同排期'!N21,0)+IF(AND(7&gt;='合同排期'!J21,7&lt;'合同排期'!J21+12),'合同排期'!O21,0)+K141*'假设'!D47</x:f>
        <x:v>0</x:v>
      </x:c>
      <x:c r="L145" s="8" t="n">
        <x:f>IF(8='合同排期'!I21,'合同排期'!N21,0)+IF(AND(8&gt;='合同排期'!J21,8&lt;'合同排期'!J21+12),'合同排期'!O21,0)+L141*'假设'!D47</x:f>
        <x:v>0</x:v>
      </x:c>
      <x:c r="M145" s="8" t="n">
        <x:f>IF(9='合同排期'!I21,'合同排期'!N21,0)+IF(AND(9&gt;='合同排期'!J21,9&lt;'合同排期'!J21+12),'合同排期'!O21,0)+M141*'假设'!D47</x:f>
        <x:v>3.35</x:v>
      </x:c>
      <x:c r="N145" s="8" t="n">
        <x:f>IF(10='合同排期'!I21,'合同排期'!N21,0)+IF(AND(10&gt;='合同排期'!J21,10&lt;'合同排期'!J21+12),'合同排期'!O21,0)+N141*'假设'!D47</x:f>
        <x:v>0</x:v>
      </x:c>
      <x:c r="O145" s="8" t="n">
        <x:f>IF(11='合同排期'!I21,'合同排期'!N21,0)+IF(AND(11&gt;='合同排期'!J21,11&lt;'合同排期'!J21+12),'合同排期'!O21,0)+O141*'假设'!D47</x:f>
        <x:v>0</x:v>
      </x:c>
      <x:c r="P145" s="8" t="n">
        <x:f>IF(12='合同排期'!I21,'合同排期'!N21,0)+IF(AND(12&gt;='合同排期'!J21,12&lt;'合同排期'!J21+12),'合同排期'!O21,0)+P141*'假设'!D47</x:f>
        <x:v>25.4</x:v>
      </x:c>
      <x:c r="Q145" s="8" t="n">
        <x:f>IF(13='合同排期'!I21,'合同排期'!N21,0)+IF(AND(13&gt;='合同排期'!J21,13&lt;'合同排期'!J21+12),'合同排期'!O21,0)+Q141*'假设'!D47</x:f>
        <x:v>0.3</x:v>
      </x:c>
      <x:c r="R145" s="8" t="n">
        <x:f>IF(14='合同排期'!I21,'合同排期'!N21,0)+IF(AND(14&gt;='合同排期'!J21,14&lt;'合同排期'!J21+12),'合同排期'!O21,0)+R141*'假设'!D47</x:f>
        <x:v>0.3</x:v>
      </x:c>
      <x:c r="S145" s="8" t="n">
        <x:f>IF(15='合同排期'!I21,'合同排期'!N21,0)+IF(AND(15&gt;='合同排期'!J21,15&lt;'合同排期'!J21+12),'合同排期'!O21,0)+S141*'假设'!D47</x:f>
        <x:v>0.3</x:v>
      </x:c>
      <x:c r="T145" s="8" t="n">
        <x:f>IF(16='合同排期'!I21,'合同排期'!N21,0)+IF(AND(16&gt;='合同排期'!J21,16&lt;'合同排期'!J21+12),'合同排期'!O21,0)+T141*'假设'!D47</x:f>
        <x:v>0.3</x:v>
      </x:c>
      <x:c r="U145" s="8" t="n">
        <x:f>IF(17='合同排期'!I21,'合同排期'!N21,0)+IF(AND(17&gt;='合同排期'!J21,17&lt;'合同排期'!J21+12),'合同排期'!O21,0)+U141*'假设'!D47</x:f>
        <x:v>0.3</x:v>
      </x:c>
      <x:c r="V145" s="8" t="n">
        <x:f>IF(18='合同排期'!I21,'合同排期'!N21,0)+IF(AND(18&gt;='合同排期'!J21,18&lt;'合同排期'!J21+12),'合同排期'!O21,0)+V141*'假设'!D47</x:f>
        <x:v>0.3</x:v>
      </x:c>
      <x:c r="W145" s="8" t="n">
        <x:f>IF(19='合同排期'!I21,'合同排期'!N21,0)+IF(AND(19&gt;='合同排期'!J21,19&lt;'合同排期'!J21+12),'合同排期'!O21,0)+W141*'假设'!D47</x:f>
        <x:v>0.3</x:v>
      </x:c>
      <x:c r="X145" s="8" t="n">
        <x:f>IF(20='合同排期'!I21,'合同排期'!N21,0)+IF(AND(20&gt;='合同排期'!J21,20&lt;'合同排期'!J21+12),'合同排期'!O21,0)+X141*'假设'!D47</x:f>
        <x:v>0.3</x:v>
      </x:c>
      <x:c r="Y145" s="8" t="n">
        <x:f>IF(21='合同排期'!I21,'合同排期'!N21,0)+IF(AND(21&gt;='合同排期'!J21,21&lt;'合同排期'!J21+12),'合同排期'!O21,0)+Y141*'假设'!D47</x:f>
        <x:v>0.3</x:v>
      </x:c>
      <x:c r="Z145" s="8" t="n">
        <x:f>IF(22='合同排期'!I21,'合同排期'!N21,0)+IF(AND(22&gt;='合同排期'!J21,22&lt;'合同排期'!J21+12),'合同排期'!O21,0)+Z141*'假设'!D47</x:f>
        <x:v>0.3</x:v>
      </x:c>
      <x:c r="AA145" s="8" t="n">
        <x:f>IF(23='合同排期'!I21,'合同排期'!N21,0)+IF(AND(23&gt;='合同排期'!J21,23&lt;'合同排期'!J21+12),'合同排期'!O21,0)+AA141*'假设'!D47</x:f>
        <x:v>0.3</x:v>
      </x:c>
      <x:c r="AB145" s="8" t="n">
        <x:f>IF(24='合同排期'!I21,'合同排期'!N21,0)+IF(AND(24&gt;='合同排期'!J21,24&lt;'合同排期'!J21+12),'合同排期'!O21,0)+AB141*'假设'!D47</x:f>
        <x:v>0.3</x:v>
      </x:c>
    </x:row>
    <x:row r="146" ht="23" customHeight="1">
      <x:c r="A146" s="1"/>
      <x:c r="B146" s="1"/>
      <x:c r="C146" s="1" t="str">
        <x:v>E04</x:v>
      </x:c>
      <x:c r="D146" s="1" t="str">
        <x:v>直接现金成本</x:v>
      </x:c>
      <x:c r="E146" s="8" t="n">
        <x:f>IF(AND(1&gt;='合同排期'!H21,1&lt;='合同排期'!I21),'合同排期'!N21/('合同排期'!I21-'合同排期'!H21+1),0)+IF(AND(1&gt;='合同排期'!J21,1&lt;'合同排期'!J21+12),'合同排期'!O21,0)+E144*'假设'!D47</x:f>
        <x:v>0</x:v>
      </x:c>
      <x:c r="F146" s="8" t="n">
        <x:f>IF(AND(2&gt;='合同排期'!H21,2&lt;='合同排期'!I21),'合同排期'!N21/('合同排期'!I21-'合同排期'!H21+1),0)+IF(AND(2&gt;='合同排期'!J21,2&lt;'合同排期'!J21+12),'合同排期'!O21,0)+F144*'假设'!D47</x:f>
        <x:v>0</x:v>
      </x:c>
      <x:c r="G146" s="8" t="n">
        <x:f>IF(AND(3&gt;='合同排期'!H21,3&lt;='合同排期'!I21),'合同排期'!N21/('合同排期'!I21-'合同排期'!H21+1),0)+IF(AND(3&gt;='合同排期'!J21,3&lt;'合同排期'!J21+12),'合同排期'!O21,0)+G144*'假设'!D47</x:f>
        <x:v>0</x:v>
      </x:c>
      <x:c r="H146" s="8" t="n">
        <x:f>IF(AND(4&gt;='合同排期'!H21,4&lt;='合同排期'!I21),'合同排期'!N21/('合同排期'!I21-'合同排期'!H21+1),0)+IF(AND(4&gt;='合同排期'!J21,4&lt;'合同排期'!J21+12),'合同排期'!O21,0)+H144*'假设'!D47</x:f>
        <x:v>0</x:v>
      </x:c>
      <x:c r="I146" s="8" t="n">
        <x:f>IF(AND(5&gt;='合同排期'!H21,5&lt;='合同排期'!I21),'合同排期'!N21/('合同排期'!I21-'合同排期'!H21+1),0)+IF(AND(5&gt;='合同排期'!J21,5&lt;'合同排期'!J21+12),'合同排期'!O21,0)+I144*'假设'!D47</x:f>
        <x:v>0</x:v>
      </x:c>
      <x:c r="J146" s="8" t="n">
        <x:f>IF(AND(6&gt;='合同排期'!H21,6&lt;='合同排期'!I21),'合同排期'!N21/('合同排期'!I21-'合同排期'!H21+1),0)+IF(AND(6&gt;='合同排期'!J21,6&lt;'合同排期'!J21+12),'合同排期'!O21,0)+J144*'假设'!D47</x:f>
        <x:v>0</x:v>
      </x:c>
      <x:c r="K146" s="8" t="n">
        <x:f>IF(AND(7&gt;='合同排期'!H21,7&lt;='合同排期'!I21),'合同排期'!N21/('合同排期'!I21-'合同排期'!H21+1),0)+IF(AND(7&gt;='合同排期'!J21,7&lt;'合同排期'!J21+12),'合同排期'!O21,0)+K144*'假设'!D47</x:f>
        <x:v>0</x:v>
      </x:c>
      <x:c r="L146" s="8" t="n">
        <x:f>IF(AND(8&gt;='合同排期'!H21,8&lt;='合同排期'!I21),'合同排期'!N21/('合同排期'!I21-'合同排期'!H21+1),0)+IF(AND(8&gt;='合同排期'!J21,8&lt;'合同排期'!J21+12),'合同排期'!O21,0)+L144*'假设'!D47</x:f>
        <x:v>0</x:v>
      </x:c>
      <x:c r="M146" s="8" t="n">
        <x:f>IF(AND(9&gt;='合同排期'!H21,9&lt;='合同排期'!I21),'合同排期'!N21/('合同排期'!I21-'合同排期'!H21+1),0)+IF(AND(9&gt;='合同排期'!J21,9&lt;'合同排期'!J21+12),'合同排期'!O21,0)+M144*'假设'!D47</x:f>
        <x:v>6.35</x:v>
      </x:c>
      <x:c r="N146" s="8" t="n">
        <x:f>IF(AND(10&gt;='合同排期'!H21,10&lt;='合同排期'!I21),'合同排期'!N21/('合同排期'!I21-'合同排期'!H21+1),0)+IF(AND(10&gt;='合同排期'!J21,10&lt;'合同排期'!J21+12),'合同排期'!O21,0)+N144*'假设'!D47</x:f>
        <x:v>7.175</x:v>
      </x:c>
      <x:c r="O146" s="8" t="n">
        <x:f>IF(AND(11&gt;='合同排期'!H21,11&lt;='合同排期'!I21),'合同排期'!N21/('合同排期'!I21-'合同排期'!H21+1),0)+IF(AND(11&gt;='合同排期'!J21,11&lt;'合同排期'!J21+12),'合同排期'!O21,0)+O144*'假设'!D47</x:f>
        <x:v>6.35</x:v>
      </x:c>
      <x:c r="P146" s="8" t="n">
        <x:f>IF(AND(12&gt;='合同排期'!H21,12&lt;='合同排期'!I21),'合同排期'!N21/('合同排期'!I21-'合同排期'!H21+1),0)+IF(AND(12&gt;='合同排期'!J21,12&lt;'合同排期'!J21+12),'合同排期'!O21,0)+P144*'假设'!D47</x:f>
        <x:v>7.449999999999999</x:v>
      </x:c>
      <x:c r="Q146" s="8" t="n">
        <x:f>IF(AND(13&gt;='合同排期'!H21,13&lt;='合同排期'!I21),'合同排期'!N21/('合同排期'!I21-'合同排期'!H21+1),0)+IF(AND(13&gt;='合同排期'!J21,13&lt;'合同排期'!J21+12),'合同排期'!O21,0)+Q144*'假设'!D47</x:f>
        <x:v>1.125</x:v>
      </x:c>
      <x:c r="R146" s="8" t="n">
        <x:f>IF(AND(14&gt;='合同排期'!H21,14&lt;='合同排期'!I21),'合同排期'!N21/('合同排期'!I21-'合同排期'!H21+1),0)+IF(AND(14&gt;='合同排期'!J21,14&lt;'合同排期'!J21+12),'合同排期'!O21,0)+R144*'假设'!D47</x:f>
        <x:v>0.9000000000000001</x:v>
      </x:c>
      <x:c r="S146" s="8" t="n">
        <x:f>IF(AND(15&gt;='合同排期'!H21,15&lt;='合同排期'!I21),'合同排期'!N21/('合同排期'!I21-'合同排期'!H21+1),0)+IF(AND(15&gt;='合同排期'!J21,15&lt;'合同排期'!J21+12),'合同排期'!O21,0)+S144*'假设'!D47</x:f>
        <x:v>0.3</x:v>
      </x:c>
      <x:c r="T146" s="8" t="n">
        <x:f>IF(AND(16&gt;='合同排期'!H21,16&lt;='合同排期'!I21),'合同排期'!N21/('合同排期'!I21-'合同排期'!H21+1),0)+IF(AND(16&gt;='合同排期'!J21,16&lt;'合同排期'!J21+12),'合同排期'!O21,0)+T144*'假设'!D47</x:f>
        <x:v>0.3</x:v>
      </x:c>
      <x:c r="U146" s="8" t="n">
        <x:f>IF(AND(17&gt;='合同排期'!H21,17&lt;='合同排期'!I21),'合同排期'!N21/('合同排期'!I21-'合同排期'!H21+1),0)+IF(AND(17&gt;='合同排期'!J21,17&lt;'合同排期'!J21+12),'合同排期'!O21,0)+U144*'假设'!D47</x:f>
        <x:v>0.3</x:v>
      </x:c>
      <x:c r="V146" s="8" t="n">
        <x:f>IF(AND(18&gt;='合同排期'!H21,18&lt;='合同排期'!I21),'合同排期'!N21/('合同排期'!I21-'合同排期'!H21+1),0)+IF(AND(18&gt;='合同排期'!J21,18&lt;'合同排期'!J21+12),'合同排期'!O21,0)+V144*'假设'!D47</x:f>
        <x:v>0.3</x:v>
      </x:c>
      <x:c r="W146" s="8" t="n">
        <x:f>IF(AND(19&gt;='合同排期'!H21,19&lt;='合同排期'!I21),'合同排期'!N21/('合同排期'!I21-'合同排期'!H21+1),0)+IF(AND(19&gt;='合同排期'!J21,19&lt;'合同排期'!J21+12),'合同排期'!O21,0)+W144*'假设'!D47</x:f>
        <x:v>0.3</x:v>
      </x:c>
      <x:c r="X146" s="8" t="n">
        <x:f>IF(AND(20&gt;='合同排期'!H21,20&lt;='合同排期'!I21),'合同排期'!N21/('合同排期'!I21-'合同排期'!H21+1),0)+IF(AND(20&gt;='合同排期'!J21,20&lt;'合同排期'!J21+12),'合同排期'!O21,0)+X144*'假设'!D47</x:f>
        <x:v>0.3</x:v>
      </x:c>
      <x:c r="Y146" s="8" t="n">
        <x:f>IF(AND(21&gt;='合同排期'!H21,21&lt;='合同排期'!I21),'合同排期'!N21/('合同排期'!I21-'合同排期'!H21+1),0)+IF(AND(21&gt;='合同排期'!J21,21&lt;'合同排期'!J21+12),'合同排期'!O21,0)+Y144*'假设'!D47</x:f>
        <x:v>0.3</x:v>
      </x:c>
      <x:c r="Z146" s="8" t="n">
        <x:f>IF(AND(22&gt;='合同排期'!H21,22&lt;='合同排期'!I21),'合同排期'!N21/('合同排期'!I21-'合同排期'!H21+1),0)+IF(AND(22&gt;='合同排期'!J21,22&lt;'合同排期'!J21+12),'合同排期'!O21,0)+Z144*'假设'!D47</x:f>
        <x:v>0.3</x:v>
      </x:c>
      <x:c r="AA146" s="8" t="n">
        <x:f>IF(AND(23&gt;='合同排期'!H21,23&lt;='合同排期'!I21),'合同排期'!N21/('合同排期'!I21-'合同排期'!H21+1),0)+IF(AND(23&gt;='合同排期'!J21,23&lt;'合同排期'!J21+12),'合同排期'!O21,0)+AA144*'假设'!D47</x:f>
        <x:v>0.3</x:v>
      </x:c>
      <x:c r="AB146" s="8" t="n">
        <x:f>IF(AND(24&gt;='合同排期'!H21,24&lt;='合同排期'!I21),'合同排期'!N21/('合同排期'!I21-'合同排期'!H21+1),0)+IF(AND(24&gt;='合同排期'!J21,24&lt;'合同排期'!J21+12),'合同排期'!O21,0)+AB144*'假设'!D47</x:f>
        <x:v>0.3</x:v>
      </x:c>
    </x:row>
    <x:row r="147" ht="23" customHeight="1">
      <x:c r="A147" s="1"/>
      <x:c r="B147" s="1"/>
      <x:c r="C147" s="1" t="str">
        <x:v>E04</x:v>
      </x:c>
      <x:c r="D147" s="1" t="str">
        <x:v>工程交付人月</x:v>
      </x:c>
      <x:c r="E147" s="8" t="n">
        <x:f>IF(AND(1&gt;='合同排期'!H21,1&lt;='合同排期'!I21),'合同排期'!M21/('合同排期'!I21-'合同排期'!H21+1),0)</x:f>
        <x:v>0</x:v>
      </x:c>
      <x:c r="F147" s="8" t="n">
        <x:f>IF(AND(2&gt;='合同排期'!H21,2&lt;='合同排期'!I21),'合同排期'!M21/('合同排期'!I21-'合同排期'!H21+1),0)</x:f>
        <x:v>0</x:v>
      </x:c>
      <x:c r="G147" s="8" t="n">
        <x:f>IF(AND(3&gt;='合同排期'!H21,3&lt;='合同排期'!I21),'合同排期'!M21/('合同排期'!I21-'合同排期'!H21+1),0)</x:f>
        <x:v>0</x:v>
      </x:c>
      <x:c r="H147" s="8" t="n">
        <x:f>IF(AND(4&gt;='合同排期'!H21,4&lt;='合同排期'!I21),'合同排期'!M21/('合同排期'!I21-'合同排期'!H21+1),0)</x:f>
        <x:v>0</x:v>
      </x:c>
      <x:c r="I147" s="8" t="n">
        <x:f>IF(AND(5&gt;='合同排期'!H21,5&lt;='合同排期'!I21),'合同排期'!M21/('合同排期'!I21-'合同排期'!H21+1),0)</x:f>
        <x:v>0</x:v>
      </x:c>
      <x:c r="J147" s="8" t="n">
        <x:f>IF(AND(6&gt;='合同排期'!H21,6&lt;='合同排期'!I21),'合同排期'!M21/('合同排期'!I21-'合同排期'!H21+1),0)</x:f>
        <x:v>0</x:v>
      </x:c>
      <x:c r="K147" s="8" t="n">
        <x:f>IF(AND(7&gt;='合同排期'!H21,7&lt;='合同排期'!I21),'合同排期'!M21/('合同排期'!I21-'合同排期'!H21+1),0)</x:f>
        <x:v>0</x:v>
      </x:c>
      <x:c r="L147" s="8" t="n">
        <x:f>IF(AND(8&gt;='合同排期'!H21,8&lt;='合同排期'!I21),'合同排期'!M21/('合同排期'!I21-'合同排期'!H21+1),0)</x:f>
        <x:v>0</x:v>
      </x:c>
      <x:c r="M147" s="8" t="n">
        <x:f>IF(AND(9&gt;='合同排期'!H21,9&lt;='合同排期'!I21),'合同排期'!M21/('合同排期'!I21-'合同排期'!H21+1),0)</x:f>
        <x:v>4.5</x:v>
      </x:c>
      <x:c r="N147" s="8" t="n">
        <x:f>IF(AND(10&gt;='合同排期'!H21,10&lt;='合同排期'!I21),'合同排期'!M21/('合同排期'!I21-'合同排期'!H21+1),0)</x:f>
        <x:v>4.5</x:v>
      </x:c>
      <x:c r="O147" s="8" t="n">
        <x:f>IF(AND(11&gt;='合同排期'!H21,11&lt;='合同排期'!I21),'合同排期'!M21/('合同排期'!I21-'合同排期'!H21+1),0)</x:f>
        <x:v>4.5</x:v>
      </x:c>
      <x:c r="P147" s="8" t="n">
        <x:f>IF(AND(12&gt;='合同排期'!H21,12&lt;='合同排期'!I21),'合同排期'!M21/('合同排期'!I21-'合同排期'!H21+1),0)</x:f>
        <x:v>4.5</x:v>
      </x:c>
      <x:c r="Q147" s="8" t="n">
        <x:f>IF(AND(13&gt;='合同排期'!H21,13&lt;='合同排期'!I21),'合同排期'!M21/('合同排期'!I21-'合同排期'!H21+1),0)</x:f>
        <x:v>0</x:v>
      </x:c>
      <x:c r="R147" s="8" t="n">
        <x:f>IF(AND(14&gt;='合同排期'!H21,14&lt;='合同排期'!I21),'合同排期'!M21/('合同排期'!I21-'合同排期'!H21+1),0)</x:f>
        <x:v>0</x:v>
      </x:c>
      <x:c r="S147" s="8" t="n">
        <x:f>IF(AND(15&gt;='合同排期'!H21,15&lt;='合同排期'!I21),'合同排期'!M21/('合同排期'!I21-'合同排期'!H21+1),0)</x:f>
        <x:v>0</x:v>
      </x:c>
      <x:c r="T147" s="8" t="n">
        <x:f>IF(AND(16&gt;='合同排期'!H21,16&lt;='合同排期'!I21),'合同排期'!M21/('合同排期'!I21-'合同排期'!H21+1),0)</x:f>
        <x:v>0</x:v>
      </x:c>
      <x:c r="U147" s="8" t="n">
        <x:f>IF(AND(17&gt;='合同排期'!H21,17&lt;='合同排期'!I21),'合同排期'!M21/('合同排期'!I21-'合同排期'!H21+1),0)</x:f>
        <x:v>0</x:v>
      </x:c>
      <x:c r="V147" s="8" t="n">
        <x:f>IF(AND(18&gt;='合同排期'!H21,18&lt;='合同排期'!I21),'合同排期'!M21/('合同排期'!I21-'合同排期'!H21+1),0)</x:f>
        <x:v>0</x:v>
      </x:c>
      <x:c r="W147" s="8" t="n">
        <x:f>IF(AND(19&gt;='合同排期'!H21,19&lt;='合同排期'!I21),'合同排期'!M21/('合同排期'!I21-'合同排期'!H21+1),0)</x:f>
        <x:v>0</x:v>
      </x:c>
      <x:c r="X147" s="8" t="n">
        <x:f>IF(AND(20&gt;='合同排期'!H21,20&lt;='合同排期'!I21),'合同排期'!M21/('合同排期'!I21-'合同排期'!H21+1),0)</x:f>
        <x:v>0</x:v>
      </x:c>
      <x:c r="Y147" s="8" t="n">
        <x:f>IF(AND(21&gt;='合同排期'!H21,21&lt;='合同排期'!I21),'合同排期'!M21/('合同排期'!I21-'合同排期'!H21+1),0)</x:f>
        <x:v>0</x:v>
      </x:c>
      <x:c r="Z147" s="8" t="n">
        <x:f>IF(AND(22&gt;='合同排期'!H21,22&lt;='合同排期'!I21),'合同排期'!M21/('合同排期'!I21-'合同排期'!H21+1),0)</x:f>
        <x:v>0</x:v>
      </x:c>
      <x:c r="AA147" s="8" t="n">
        <x:f>IF(AND(23&gt;='合同排期'!H21,23&lt;='合同排期'!I21),'合同排期'!M21/('合同排期'!I21-'合同排期'!H21+1),0)</x:f>
        <x:v>0</x:v>
      </x:c>
      <x:c r="AB147" s="8" t="n">
        <x:f>IF(AND(24&gt;='合同排期'!H21,24&lt;='合同排期'!I21),'合同排期'!M21/('合同排期'!I21-'合同排期'!H21+1),0)</x:f>
        <x:v>0</x:v>
      </x:c>
    </x:row>
    <x:row r="148" ht="23" customHeight="1">
      <x:c r="A148" s="1"/>
      <x:c r="B148" s="1"/>
      <x:c r="C148" s="1" t="str">
        <x:v>E04</x:v>
      </x:c>
      <x:c r="D148" s="1" t="str">
        <x:v>生效ARR</x:v>
      </x:c>
      <x:c r="E148" s="8" t="n">
        <x:f>IF(AND(1&gt;='合同排期'!J21,1&lt;'合同排期'!J21+12),'合同排期'!L21,0)</x:f>
        <x:v>0</x:v>
      </x:c>
      <x:c r="F148" s="8" t="n">
        <x:f>IF(AND(2&gt;='合同排期'!J21,2&lt;'合同排期'!J21+12),'合同排期'!L21,0)</x:f>
        <x:v>0</x:v>
      </x:c>
      <x:c r="G148" s="8" t="n">
        <x:f>IF(AND(3&gt;='合同排期'!J21,3&lt;'合同排期'!J21+12),'合同排期'!L21,0)</x:f>
        <x:v>0</x:v>
      </x:c>
      <x:c r="H148" s="8" t="n">
        <x:f>IF(AND(4&gt;='合同排期'!J21,4&lt;'合同排期'!J21+12),'合同排期'!L21,0)</x:f>
        <x:v>0</x:v>
      </x:c>
      <x:c r="I148" s="8" t="n">
        <x:f>IF(AND(5&gt;='合同排期'!J21,5&lt;'合同排期'!J21+12),'合同排期'!L21,0)</x:f>
        <x:v>0</x:v>
      </x:c>
      <x:c r="J148" s="8" t="n">
        <x:f>IF(AND(6&gt;='合同排期'!J21,6&lt;'合同排期'!J21+12),'合同排期'!L21,0)</x:f>
        <x:v>0</x:v>
      </x:c>
      <x:c r="K148" s="8" t="n">
        <x:f>IF(AND(7&gt;='合同排期'!J21,7&lt;'合同排期'!J21+12),'合同排期'!L21,0)</x:f>
        <x:v>0</x:v>
      </x:c>
      <x:c r="L148" s="8" t="n">
        <x:f>IF(AND(8&gt;='合同排期'!J21,8&lt;'合同排期'!J21+12),'合同排期'!L21,0)</x:f>
        <x:v>0</x:v>
      </x:c>
      <x:c r="M148" s="8" t="n">
        <x:f>IF(AND(9&gt;='合同排期'!J21,9&lt;'合同排期'!J21+12),'合同排期'!L21,0)</x:f>
        <x:v>0</x:v>
      </x:c>
      <x:c r="N148" s="8" t="n">
        <x:f>IF(AND(10&gt;='合同排期'!J21,10&lt;'合同排期'!J21+12),'合同排期'!L21,0)</x:f>
        <x:v>0</x:v>
      </x:c>
      <x:c r="O148" s="8" t="n">
        <x:f>IF(AND(11&gt;='合同排期'!J21,11&lt;'合同排期'!J21+12),'合同排期'!L21,0)</x:f>
        <x:v>0</x:v>
      </x:c>
      <x:c r="P148" s="8" t="n">
        <x:f>IF(AND(12&gt;='合同排期'!J21,12&lt;'合同排期'!J21+12),'合同排期'!L21,0)</x:f>
        <x:v>0</x:v>
      </x:c>
      <x:c r="Q148" s="8" t="n">
        <x:f>IF(AND(13&gt;='合同排期'!J21,13&lt;'合同排期'!J21+12),'合同排期'!L21,0)</x:f>
        <x:v>12</x:v>
      </x:c>
      <x:c r="R148" s="8" t="n">
        <x:f>IF(AND(14&gt;='合同排期'!J21,14&lt;'合同排期'!J21+12),'合同排期'!L21,0)</x:f>
        <x:v>12</x:v>
      </x:c>
      <x:c r="S148" s="8" t="n">
        <x:f>IF(AND(15&gt;='合同排期'!J21,15&lt;'合同排期'!J21+12),'合同排期'!L21,0)</x:f>
        <x:v>12</x:v>
      </x:c>
      <x:c r="T148" s="8" t="n">
        <x:f>IF(AND(16&gt;='合同排期'!J21,16&lt;'合同排期'!J21+12),'合同排期'!L21,0)</x:f>
        <x:v>12</x:v>
      </x:c>
      <x:c r="U148" s="8" t="n">
        <x:f>IF(AND(17&gt;='合同排期'!J21,17&lt;'合同排期'!J21+12),'合同排期'!L21,0)</x:f>
        <x:v>12</x:v>
      </x:c>
      <x:c r="V148" s="8" t="n">
        <x:f>IF(AND(18&gt;='合同排期'!J21,18&lt;'合同排期'!J21+12),'合同排期'!L21,0)</x:f>
        <x:v>12</x:v>
      </x:c>
      <x:c r="W148" s="8" t="n">
        <x:f>IF(AND(19&gt;='合同排期'!J21,19&lt;'合同排期'!J21+12),'合同排期'!L21,0)</x:f>
        <x:v>12</x:v>
      </x:c>
      <x:c r="X148" s="8" t="n">
        <x:f>IF(AND(20&gt;='合同排期'!J21,20&lt;'合同排期'!J21+12),'合同排期'!L21,0)</x:f>
        <x:v>12</x:v>
      </x:c>
      <x:c r="Y148" s="8" t="n">
        <x:f>IF(AND(21&gt;='合同排期'!J21,21&lt;'合同排期'!J21+12),'合同排期'!L21,0)</x:f>
        <x:v>12</x:v>
      </x:c>
      <x:c r="Z148" s="8" t="n">
        <x:f>IF(AND(22&gt;='合同排期'!J21,22&lt;'合同排期'!J21+12),'合同排期'!L21,0)</x:f>
        <x:v>12</x:v>
      </x:c>
      <x:c r="AA148" s="8" t="n">
        <x:f>IF(AND(23&gt;='合同排期'!J21,23&lt;'合同排期'!J21+12),'合同排期'!L21,0)</x:f>
        <x:v>12</x:v>
      </x:c>
      <x:c r="AB148" s="8" t="n">
        <x:f>IF(AND(24&gt;='合同排期'!J21,24&lt;'合同排期'!J21+12),'合同排期'!L21,0)</x:f>
        <x:v>12</x:v>
      </x:c>
    </x:row>
    <x:row r="149" ht="23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  <x:c r="AA149" s="1"/>
      <x:c r="AB149" s="1"/>
    </x:row>
    <x:row r="150" ht="23" customHeight="1">
      <x:c r="A150" s="1"/>
      <x:c r="B150" s="1"/>
      <x:c r="C150" s="1" t="str">
        <x:v>E05</x:v>
      </x:c>
      <x:c r="D150" s="1" t="str">
        <x:v>净签约</x:v>
      </x:c>
      <x:c r="E150" s="8" t="n">
        <x:f>IF(1='合同排期'!H22,'合同排期'!K22+'合同排期'!L22,0)</x:f>
        <x:v>0</x:v>
      </x:c>
      <x:c r="F150" s="8" t="n">
        <x:f>IF(2='合同排期'!H22,'合同排期'!K22+'合同排期'!L22,0)</x:f>
        <x:v>0</x:v>
      </x:c>
      <x:c r="G150" s="8" t="n">
        <x:f>IF(3='合同排期'!H22,'合同排期'!K22+'合同排期'!L22,0)</x:f>
        <x:v>0</x:v>
      </x:c>
      <x:c r="H150" s="8" t="n">
        <x:f>IF(4='合同排期'!H22,'合同排期'!K22+'合同排期'!L22,0)</x:f>
        <x:v>0</x:v>
      </x:c>
      <x:c r="I150" s="8" t="n">
        <x:f>IF(5='合同排期'!H22,'合同排期'!K22+'合同排期'!L22,0)</x:f>
        <x:v>0</x:v>
      </x:c>
      <x:c r="J150" s="8" t="n">
        <x:f>IF(6='合同排期'!H22,'合同排期'!K22+'合同排期'!L22,0)</x:f>
        <x:v>0</x:v>
      </x:c>
      <x:c r="K150" s="8" t="n">
        <x:f>IF(7='合同排期'!H22,'合同排期'!K22+'合同排期'!L22,0)</x:f>
        <x:v>0</x:v>
      </x:c>
      <x:c r="L150" s="8" t="n">
        <x:f>IF(8='合同排期'!H22,'合同排期'!K22+'合同排期'!L22,0)</x:f>
        <x:v>0</x:v>
      </x:c>
      <x:c r="M150" s="8" t="n">
        <x:f>IF(9='合同排期'!H22,'合同排期'!K22+'合同排期'!L22,0)</x:f>
        <x:v>0</x:v>
      </x:c>
      <x:c r="N150" s="8" t="n">
        <x:f>IF(10='合同排期'!H22,'合同排期'!K22+'合同排期'!L22,0)</x:f>
        <x:v>0</x:v>
      </x:c>
      <x:c r="O150" s="8" t="n">
        <x:f>IF(11='合同排期'!H22,'合同排期'!K22+'合同排期'!L22,0)</x:f>
        <x:v>0</x:v>
      </x:c>
      <x:c r="P150" s="8" t="n">
        <x:f>IF(12='合同排期'!H22,'合同排期'!K22+'合同排期'!L22,0)</x:f>
        <x:v>0</x:v>
      </x:c>
      <x:c r="Q150" s="8" t="n">
        <x:f>IF(13='合同排期'!H22,'合同排期'!K22+'合同排期'!L22,0)</x:f>
        <x:v>0</x:v>
      </x:c>
      <x:c r="R150" s="8" t="n">
        <x:f>IF(14='合同排期'!H22,'合同排期'!K22+'合同排期'!L22,0)</x:f>
        <x:v>0</x:v>
      </x:c>
      <x:c r="S150" s="8" t="n">
        <x:f>IF(15='合同排期'!H22,'合同排期'!K22+'合同排期'!L22,0)</x:f>
        <x:v>0</x:v>
      </x:c>
      <x:c r="T150" s="8" t="n">
        <x:f>IF(16='合同排期'!H22,'合同排期'!K22+'合同排期'!L22,0)</x:f>
        <x:v>0</x:v>
      </x:c>
      <x:c r="U150" s="8" t="n">
        <x:f>IF(17='合同排期'!H22,'合同排期'!K22+'合同排期'!L22,0)</x:f>
        <x:v>0</x:v>
      </x:c>
      <x:c r="V150" s="8" t="n">
        <x:f>IF(18='合同排期'!H22,'合同排期'!K22+'合同排期'!L22,0)</x:f>
        <x:v>0</x:v>
      </x:c>
      <x:c r="W150" s="8" t="n">
        <x:f>IF(19='合同排期'!H22,'合同排期'!K22+'合同排期'!L22,0)</x:f>
        <x:v>0</x:v>
      </x:c>
      <x:c r="X150" s="8" t="n">
        <x:f>IF(20='合同排期'!H22,'合同排期'!K22+'合同排期'!L22,0)</x:f>
        <x:v>0</x:v>
      </x:c>
      <x:c r="Y150" s="8" t="n">
        <x:f>IF(21='合同排期'!H22,'合同排期'!K22+'合同排期'!L22,0)</x:f>
        <x:v>0</x:v>
      </x:c>
      <x:c r="Z150" s="8" t="n">
        <x:f>IF(22='合同排期'!H22,'合同排期'!K22+'合同排期'!L22,0)</x:f>
        <x:v>0</x:v>
      </x:c>
      <x:c r="AA150" s="8" t="n">
        <x:f>IF(23='合同排期'!H22,'合同排期'!K22+'合同排期'!L22,0)</x:f>
        <x:v>0</x:v>
      </x:c>
      <x:c r="AB150" s="8" t="n">
        <x:f>IF(24='合同排期'!H22,'合同排期'!K22+'合同排期'!L22,0)</x:f>
        <x:v>0</x:v>
      </x:c>
    </x:row>
    <x:row r="151" ht="23" customHeight="1">
      <x:c r="A151" s="1"/>
      <x:c r="B151" s="1"/>
      <x:c r="C151" s="1" t="str">
        <x:v>E05</x:v>
      </x:c>
      <x:c r="D151" s="1" t="str">
        <x:v>确认收入</x:v>
      </x:c>
      <x:c r="E151" s="8" t="n">
        <x:f>IF(1='合同排期'!I22,'合同排期'!K22,0)+IF(AND(1&gt;='合同排期'!J22,1&lt;'合同排期'!J22+12),'合同排期'!L22/12,0)</x:f>
        <x:v>0</x:v>
      </x:c>
      <x:c r="F151" s="8" t="n">
        <x:f>IF(2='合同排期'!I22,'合同排期'!K22,0)+IF(AND(2&gt;='合同排期'!J22,2&lt;'合同排期'!J22+12),'合同排期'!L22/12,0)</x:f>
        <x:v>0</x:v>
      </x:c>
      <x:c r="G151" s="8" t="n">
        <x:f>IF(3='合同排期'!I22,'合同排期'!K22,0)+IF(AND(3&gt;='合同排期'!J22,3&lt;'合同排期'!J22+12),'合同排期'!L22/12,0)</x:f>
        <x:v>0</x:v>
      </x:c>
      <x:c r="H151" s="8" t="n">
        <x:f>IF(4='合同排期'!I22,'合同排期'!K22,0)+IF(AND(4&gt;='合同排期'!J22,4&lt;'合同排期'!J22+12),'合同排期'!L22/12,0)</x:f>
        <x:v>0</x:v>
      </x:c>
      <x:c r="I151" s="8" t="n">
        <x:f>IF(5='合同排期'!I22,'合同排期'!K22,0)+IF(AND(5&gt;='合同排期'!J22,5&lt;'合同排期'!J22+12),'合同排期'!L22/12,0)</x:f>
        <x:v>0</x:v>
      </x:c>
      <x:c r="J151" s="8" t="n">
        <x:f>IF(6='合同排期'!I22,'合同排期'!K22,0)+IF(AND(6&gt;='合同排期'!J22,6&lt;'合同排期'!J22+12),'合同排期'!L22/12,0)</x:f>
        <x:v>0</x:v>
      </x:c>
      <x:c r="K151" s="8" t="n">
        <x:f>IF(7='合同排期'!I22,'合同排期'!K22,0)+IF(AND(7&gt;='合同排期'!J22,7&lt;'合同排期'!J22+12),'合同排期'!L22/12,0)</x:f>
        <x:v>0</x:v>
      </x:c>
      <x:c r="L151" s="8" t="n">
        <x:f>IF(8='合同排期'!I22,'合同排期'!K22,0)+IF(AND(8&gt;='合同排期'!J22,8&lt;'合同排期'!J22+12),'合同排期'!L22/12,0)</x:f>
        <x:v>0</x:v>
      </x:c>
      <x:c r="M151" s="8" t="n">
        <x:f>IF(9='合同排期'!I22,'合同排期'!K22,0)+IF(AND(9&gt;='合同排期'!J22,9&lt;'合同排期'!J22+12),'合同排期'!L22/12,0)</x:f>
        <x:v>0</x:v>
      </x:c>
      <x:c r="N151" s="8" t="n">
        <x:f>IF(10='合同排期'!I22,'合同排期'!K22,0)+IF(AND(10&gt;='合同排期'!J22,10&lt;'合同排期'!J22+12),'合同排期'!L22/12,0)</x:f>
        <x:v>0</x:v>
      </x:c>
      <x:c r="O151" s="8" t="n">
        <x:f>IF(11='合同排期'!I22,'合同排期'!K22,0)+IF(AND(11&gt;='合同排期'!J22,11&lt;'合同排期'!J22+12),'合同排期'!L22/12,0)</x:f>
        <x:v>0</x:v>
      </x:c>
      <x:c r="P151" s="8" t="n">
        <x:f>IF(12='合同排期'!I22,'合同排期'!K22,0)+IF(AND(12&gt;='合同排期'!J22,12&lt;'合同排期'!J22+12),'合同排期'!L22/12,0)</x:f>
        <x:v>0</x:v>
      </x:c>
      <x:c r="Q151" s="8" t="n">
        <x:f>IF(13='合同排期'!I22,'合同排期'!K22,0)+IF(AND(13&gt;='合同排期'!J22,13&lt;'合同排期'!J22+12),'合同排期'!L22/12,0)</x:f>
        <x:v>0</x:v>
      </x:c>
      <x:c r="R151" s="8" t="n">
        <x:f>IF(14='合同排期'!I22,'合同排期'!K22,0)+IF(AND(14&gt;='合同排期'!J22,14&lt;'合同排期'!J22+12),'合同排期'!L22/12,0)</x:f>
        <x:v>0</x:v>
      </x:c>
      <x:c r="S151" s="8" t="n">
        <x:f>IF(15='合同排期'!I22,'合同排期'!K22,0)+IF(AND(15&gt;='合同排期'!J22,15&lt;'合同排期'!J22+12),'合同排期'!L22/12,0)</x:f>
        <x:v>0</x:v>
      </x:c>
      <x:c r="T151" s="8" t="n">
        <x:f>IF(16='合同排期'!I22,'合同排期'!K22,0)+IF(AND(16&gt;='合同排期'!J22,16&lt;'合同排期'!J22+12),'合同排期'!L22/12,0)</x:f>
        <x:v>0</x:v>
      </x:c>
      <x:c r="U151" s="8" t="n">
        <x:f>IF(17='合同排期'!I22,'合同排期'!K22,0)+IF(AND(17&gt;='合同排期'!J22,17&lt;'合同排期'!J22+12),'合同排期'!L22/12,0)</x:f>
        <x:v>0</x:v>
      </x:c>
      <x:c r="V151" s="8" t="n">
        <x:f>IF(18='合同排期'!I22,'合同排期'!K22,0)+IF(AND(18&gt;='合同排期'!J22,18&lt;'合同排期'!J22+12),'合同排期'!L22/12,0)</x:f>
        <x:v>0</x:v>
      </x:c>
      <x:c r="W151" s="8" t="n">
        <x:f>IF(19='合同排期'!I22,'合同排期'!K22,0)+IF(AND(19&gt;='合同排期'!J22,19&lt;'合同排期'!J22+12),'合同排期'!L22/12,0)</x:f>
        <x:v>0</x:v>
      </x:c>
      <x:c r="X151" s="8" t="n">
        <x:f>IF(20='合同排期'!I22,'合同排期'!K22,0)+IF(AND(20&gt;='合同排期'!J22,20&lt;'合同排期'!J22+12),'合同排期'!L22/12,0)</x:f>
        <x:v>0</x:v>
      </x:c>
      <x:c r="Y151" s="8" t="n">
        <x:f>IF(21='合同排期'!I22,'合同排期'!K22,0)+IF(AND(21&gt;='合同排期'!J22,21&lt;'合同排期'!J22+12),'合同排期'!L22/12,0)</x:f>
        <x:v>0</x:v>
      </x:c>
      <x:c r="Z151" s="8" t="n">
        <x:f>IF(22='合同排期'!I22,'合同排期'!K22,0)+IF(AND(22&gt;='合同排期'!J22,22&lt;'合同排期'!J22+12),'合同排期'!L22/12,0)</x:f>
        <x:v>0</x:v>
      </x:c>
      <x:c r="AA151" s="8" t="n">
        <x:f>IF(23='合同排期'!I22,'合同排期'!K22,0)+IF(AND(23&gt;='合同排期'!J22,23&lt;'合同排期'!J22+12),'合同排期'!L22/12,0)</x:f>
        <x:v>0</x:v>
      </x:c>
      <x:c r="AB151" s="8" t="n">
        <x:f>IF(24='合同排期'!I22,'合同排期'!K22,0)+IF(AND(24&gt;='合同排期'!J22,24&lt;'合同排期'!J22+12),'合同排期'!L22/12,0)</x:f>
        <x:v>0</x:v>
      </x:c>
    </x:row>
    <x:row r="152" ht="23" customHeight="1">
      <x:c r="A152" s="1"/>
      <x:c r="B152" s="1"/>
      <x:c r="C152" s="1" t="str">
        <x:v>E05</x:v>
      </x:c>
      <x:c r="D152" s="1" t="str">
        <x:v>开票</x:v>
      </x:c>
      <x:c r="E152" s="8" t="n">
        <x:f>IF(1='合同排期'!H22,'合同排期'!K22*'合同排期'!P22,0)+IF(1='合同排期'!S22,'合同排期'!K22*'合同排期'!Q22,0)+IF(1='合同排期'!I22,'合同排期'!K22*'合同排期'!R22,0)+IF(1='合同排期'!J22,'合同排期'!L22,0)</x:f>
        <x:v>0</x:v>
      </x:c>
      <x:c r="F152" s="8" t="n">
        <x:f>IF(2='合同排期'!H22,'合同排期'!K22*'合同排期'!P22,0)+IF(2='合同排期'!S22,'合同排期'!K22*'合同排期'!Q22,0)+IF(2='合同排期'!I22,'合同排期'!K22*'合同排期'!R22,0)+IF(2='合同排期'!J22,'合同排期'!L22,0)</x:f>
        <x:v>0</x:v>
      </x:c>
      <x:c r="G152" s="8" t="n">
        <x:f>IF(3='合同排期'!H22,'合同排期'!K22*'合同排期'!P22,0)+IF(3='合同排期'!S22,'合同排期'!K22*'合同排期'!Q22,0)+IF(3='合同排期'!I22,'合同排期'!K22*'合同排期'!R22,0)+IF(3='合同排期'!J22,'合同排期'!L22,0)</x:f>
        <x:v>0</x:v>
      </x:c>
      <x:c r="H152" s="8" t="n">
        <x:f>IF(4='合同排期'!H22,'合同排期'!K22*'合同排期'!P22,0)+IF(4='合同排期'!S22,'合同排期'!K22*'合同排期'!Q22,0)+IF(4='合同排期'!I22,'合同排期'!K22*'合同排期'!R22,0)+IF(4='合同排期'!J22,'合同排期'!L22,0)</x:f>
        <x:v>0</x:v>
      </x:c>
      <x:c r="I152" s="8" t="n">
        <x:f>IF(5='合同排期'!H22,'合同排期'!K22*'合同排期'!P22,0)+IF(5='合同排期'!S22,'合同排期'!K22*'合同排期'!Q22,0)+IF(5='合同排期'!I22,'合同排期'!K22*'合同排期'!R22,0)+IF(5='合同排期'!J22,'合同排期'!L22,0)</x:f>
        <x:v>0</x:v>
      </x:c>
      <x:c r="J152" s="8" t="n">
        <x:f>IF(6='合同排期'!H22,'合同排期'!K22*'合同排期'!P22,0)+IF(6='合同排期'!S22,'合同排期'!K22*'合同排期'!Q22,0)+IF(6='合同排期'!I22,'合同排期'!K22*'合同排期'!R22,0)+IF(6='合同排期'!J22,'合同排期'!L22,0)</x:f>
        <x:v>0</x:v>
      </x:c>
      <x:c r="K152" s="8" t="n">
        <x:f>IF(7='合同排期'!H22,'合同排期'!K22*'合同排期'!P22,0)+IF(7='合同排期'!S22,'合同排期'!K22*'合同排期'!Q22,0)+IF(7='合同排期'!I22,'合同排期'!K22*'合同排期'!R22,0)+IF(7='合同排期'!J22,'合同排期'!L22,0)</x:f>
        <x:v>0</x:v>
      </x:c>
      <x:c r="L152" s="8" t="n">
        <x:f>IF(8='合同排期'!H22,'合同排期'!K22*'合同排期'!P22,0)+IF(8='合同排期'!S22,'合同排期'!K22*'合同排期'!Q22,0)+IF(8='合同排期'!I22,'合同排期'!K22*'合同排期'!R22,0)+IF(8='合同排期'!J22,'合同排期'!L22,0)</x:f>
        <x:v>0</x:v>
      </x:c>
      <x:c r="M152" s="8" t="n">
        <x:f>IF(9='合同排期'!H22,'合同排期'!K22*'合同排期'!P22,0)+IF(9='合同排期'!S22,'合同排期'!K22*'合同排期'!Q22,0)+IF(9='合同排期'!I22,'合同排期'!K22*'合同排期'!R22,0)+IF(9='合同排期'!J22,'合同排期'!L22,0)</x:f>
        <x:v>0</x:v>
      </x:c>
      <x:c r="N152" s="8" t="n">
        <x:f>IF(10='合同排期'!H22,'合同排期'!K22*'合同排期'!P22,0)+IF(10='合同排期'!S22,'合同排期'!K22*'合同排期'!Q22,0)+IF(10='合同排期'!I22,'合同排期'!K22*'合同排期'!R22,0)+IF(10='合同排期'!J22,'合同排期'!L22,0)</x:f>
        <x:v>0</x:v>
      </x:c>
      <x:c r="O152" s="8" t="n">
        <x:f>IF(11='合同排期'!H22,'合同排期'!K22*'合同排期'!P22,0)+IF(11='合同排期'!S22,'合同排期'!K22*'合同排期'!Q22,0)+IF(11='合同排期'!I22,'合同排期'!K22*'合同排期'!R22,0)+IF(11='合同排期'!J22,'合同排期'!L22,0)</x:f>
        <x:v>0</x:v>
      </x:c>
      <x:c r="P152" s="8" t="n">
        <x:f>IF(12='合同排期'!H22,'合同排期'!K22*'合同排期'!P22,0)+IF(12='合同排期'!S22,'合同排期'!K22*'合同排期'!Q22,0)+IF(12='合同排期'!I22,'合同排期'!K22*'合同排期'!R22,0)+IF(12='合同排期'!J22,'合同排期'!L22,0)</x:f>
        <x:v>0</x:v>
      </x:c>
      <x:c r="Q152" s="8" t="n">
        <x:f>IF(13='合同排期'!H22,'合同排期'!K22*'合同排期'!P22,0)+IF(13='合同排期'!S22,'合同排期'!K22*'合同排期'!Q22,0)+IF(13='合同排期'!I22,'合同排期'!K22*'合同排期'!R22,0)+IF(13='合同排期'!J22,'合同排期'!L22,0)</x:f>
        <x:v>0</x:v>
      </x:c>
      <x:c r="R152" s="8" t="n">
        <x:f>IF(14='合同排期'!H22,'合同排期'!K22*'合同排期'!P22,0)+IF(14='合同排期'!S22,'合同排期'!K22*'合同排期'!Q22,0)+IF(14='合同排期'!I22,'合同排期'!K22*'合同排期'!R22,0)+IF(14='合同排期'!J22,'合同排期'!L22,0)</x:f>
        <x:v>0</x:v>
      </x:c>
      <x:c r="S152" s="8" t="n">
        <x:f>IF(15='合同排期'!H22,'合同排期'!K22*'合同排期'!P22,0)+IF(15='合同排期'!S22,'合同排期'!K22*'合同排期'!Q22,0)+IF(15='合同排期'!I22,'合同排期'!K22*'合同排期'!R22,0)+IF(15='合同排期'!J22,'合同排期'!L22,0)</x:f>
        <x:v>0</x:v>
      </x:c>
      <x:c r="T152" s="8" t="n">
        <x:f>IF(16='合同排期'!H22,'合同排期'!K22*'合同排期'!P22,0)+IF(16='合同排期'!S22,'合同排期'!K22*'合同排期'!Q22,0)+IF(16='合同排期'!I22,'合同排期'!K22*'合同排期'!R22,0)+IF(16='合同排期'!J22,'合同排期'!L22,0)</x:f>
        <x:v>0</x:v>
      </x:c>
      <x:c r="U152" s="8" t="n">
        <x:f>IF(17='合同排期'!H22,'合同排期'!K22*'合同排期'!P22,0)+IF(17='合同排期'!S22,'合同排期'!K22*'合同排期'!Q22,0)+IF(17='合同排期'!I22,'合同排期'!K22*'合同排期'!R22,0)+IF(17='合同排期'!J22,'合同排期'!L22,0)</x:f>
        <x:v>0</x:v>
      </x:c>
      <x:c r="V152" s="8" t="n">
        <x:f>IF(18='合同排期'!H22,'合同排期'!K22*'合同排期'!P22,0)+IF(18='合同排期'!S22,'合同排期'!K22*'合同排期'!Q22,0)+IF(18='合同排期'!I22,'合同排期'!K22*'合同排期'!R22,0)+IF(18='合同排期'!J22,'合同排期'!L22,0)</x:f>
        <x:v>0</x:v>
      </x:c>
      <x:c r="W152" s="8" t="n">
        <x:f>IF(19='合同排期'!H22,'合同排期'!K22*'合同排期'!P22,0)+IF(19='合同排期'!S22,'合同排期'!K22*'合同排期'!Q22,0)+IF(19='合同排期'!I22,'合同排期'!K22*'合同排期'!R22,0)+IF(19='合同排期'!J22,'合同排期'!L22,0)</x:f>
        <x:v>0</x:v>
      </x:c>
      <x:c r="X152" s="8" t="n">
        <x:f>IF(20='合同排期'!H22,'合同排期'!K22*'合同排期'!P22,0)+IF(20='合同排期'!S22,'合同排期'!K22*'合同排期'!Q22,0)+IF(20='合同排期'!I22,'合同排期'!K22*'合同排期'!R22,0)+IF(20='合同排期'!J22,'合同排期'!L22,0)</x:f>
        <x:v>0</x:v>
      </x:c>
      <x:c r="Y152" s="8" t="n">
        <x:f>IF(21='合同排期'!H22,'合同排期'!K22*'合同排期'!P22,0)+IF(21='合同排期'!S22,'合同排期'!K22*'合同排期'!Q22,0)+IF(21='合同排期'!I22,'合同排期'!K22*'合同排期'!R22,0)+IF(21='合同排期'!J22,'合同排期'!L22,0)</x:f>
        <x:v>0</x:v>
      </x:c>
      <x:c r="Z152" s="8" t="n">
        <x:f>IF(22='合同排期'!H22,'合同排期'!K22*'合同排期'!P22,0)+IF(22='合同排期'!S22,'合同排期'!K22*'合同排期'!Q22,0)+IF(22='合同排期'!I22,'合同排期'!K22*'合同排期'!R22,0)+IF(22='合同排期'!J22,'合同排期'!L22,0)</x:f>
        <x:v>0</x:v>
      </x:c>
      <x:c r="AA152" s="8" t="n">
        <x:f>IF(23='合同排期'!H22,'合同排期'!K22*'合同排期'!P22,0)+IF(23='合同排期'!S22,'合同排期'!K22*'合同排期'!Q22,0)+IF(23='合同排期'!I22,'合同排期'!K22*'合同排期'!R22,0)+IF(23='合同排期'!J22,'合同排期'!L22,0)</x:f>
        <x:v>0</x:v>
      </x:c>
      <x:c r="AB152" s="8" t="n">
        <x:f>IF(24='合同排期'!H22,'合同排期'!K22*'合同排期'!P22,0)+IF(24='合同排期'!S22,'合同排期'!K22*'合同排期'!Q22,0)+IF(24='合同排期'!I22,'合同排期'!K22*'合同排期'!R22,0)+IF(24='合同排期'!J22,'合同排期'!L22,0)</x:f>
        <x:v>0</x:v>
      </x:c>
    </x:row>
    <x:row r="153" ht="23" customHeight="1">
      <x:c r="A153" s="1"/>
      <x:c r="B153" s="1"/>
      <x:c r="C153" s="1" t="str">
        <x:v>E05</x:v>
      </x:c>
      <x:c r="D153" s="1" t="str">
        <x:v>回款</x:v>
      </x:c>
      <x:c r="E153" s="8" t="n">
        <x:f>IF(1&gt;'假设'!D27,INDEX($E152:$AB152,1,1-'假设'!D27),0)</x:f>
        <x:v>0</x:v>
      </x:c>
      <x:c r="F153" s="8" t="n">
        <x:f>IF(2&gt;'假设'!D27,INDEX($E152:$AB152,1,2-'假设'!D27),0)</x:f>
        <x:v>0</x:v>
      </x:c>
      <x:c r="G153" s="8" t="n">
        <x:f>IF(3&gt;'假设'!D27,INDEX($E152:$AB152,1,3-'假设'!D27),0)</x:f>
        <x:v>0</x:v>
      </x:c>
      <x:c r="H153" s="8" t="n">
        <x:f>IF(4&gt;'假设'!D27,INDEX($E152:$AB152,1,4-'假设'!D27),0)</x:f>
        <x:v>0</x:v>
      </x:c>
      <x:c r="I153" s="8" t="n">
        <x:f>IF(5&gt;'假设'!D27,INDEX($E152:$AB152,1,5-'假设'!D27),0)</x:f>
        <x:v>0</x:v>
      </x:c>
      <x:c r="J153" s="8" t="n">
        <x:f>IF(6&gt;'假设'!D27,INDEX($E152:$AB152,1,6-'假设'!D27),0)</x:f>
        <x:v>0</x:v>
      </x:c>
      <x:c r="K153" s="8" t="n">
        <x:f>IF(7&gt;'假设'!D27,INDEX($E152:$AB152,1,7-'假设'!D27),0)</x:f>
        <x:v>0</x:v>
      </x:c>
      <x:c r="L153" s="8" t="n">
        <x:f>IF(8&gt;'假设'!D27,INDEX($E152:$AB152,1,8-'假设'!D27),0)</x:f>
        <x:v>0</x:v>
      </x:c>
      <x:c r="M153" s="8" t="n">
        <x:f>IF(9&gt;'假设'!D27,INDEX($E152:$AB152,1,9-'假设'!D27),0)</x:f>
        <x:v>0</x:v>
      </x:c>
      <x:c r="N153" s="8" t="n">
        <x:f>IF(10&gt;'假设'!D27,INDEX($E152:$AB152,1,10-'假设'!D27),0)</x:f>
        <x:v>0</x:v>
      </x:c>
      <x:c r="O153" s="8" t="n">
        <x:f>IF(11&gt;'假设'!D27,INDEX($E152:$AB152,1,11-'假设'!D27),0)</x:f>
        <x:v>0</x:v>
      </x:c>
      <x:c r="P153" s="8" t="n">
        <x:f>IF(12&gt;'假设'!D27,INDEX($E152:$AB152,1,12-'假设'!D27),0)</x:f>
        <x:v>0</x:v>
      </x:c>
      <x:c r="Q153" s="8" t="n">
        <x:f>IF(13&gt;'假设'!D27,INDEX($E152:$AB152,1,13-'假设'!D27),0)</x:f>
        <x:v>0</x:v>
      </x:c>
      <x:c r="R153" s="8" t="n">
        <x:f>IF(14&gt;'假设'!D27,INDEX($E152:$AB152,1,14-'假设'!D27),0)</x:f>
        <x:v>0</x:v>
      </x:c>
      <x:c r="S153" s="8" t="n">
        <x:f>IF(15&gt;'假设'!D27,INDEX($E152:$AB152,1,15-'假设'!D27),0)</x:f>
        <x:v>0</x:v>
      </x:c>
      <x:c r="T153" s="8" t="n">
        <x:f>IF(16&gt;'假设'!D27,INDEX($E152:$AB152,1,16-'假设'!D27),0)</x:f>
        <x:v>0</x:v>
      </x:c>
      <x:c r="U153" s="8" t="n">
        <x:f>IF(17&gt;'假设'!D27,INDEX($E152:$AB152,1,17-'假设'!D27),0)</x:f>
        <x:v>0</x:v>
      </x:c>
      <x:c r="V153" s="8" t="n">
        <x:f>IF(18&gt;'假设'!D27,INDEX($E152:$AB152,1,18-'假设'!D27),0)</x:f>
        <x:v>0</x:v>
      </x:c>
      <x:c r="W153" s="8" t="n">
        <x:f>IF(19&gt;'假设'!D27,INDEX($E152:$AB152,1,19-'假设'!D27),0)</x:f>
        <x:v>0</x:v>
      </x:c>
      <x:c r="X153" s="8" t="n">
        <x:f>IF(20&gt;'假设'!D27,INDEX($E152:$AB152,1,20-'假设'!D27),0)</x:f>
        <x:v>0</x:v>
      </x:c>
      <x:c r="Y153" s="8" t="n">
        <x:f>IF(21&gt;'假设'!D27,INDEX($E152:$AB152,1,21-'假设'!D27),0)</x:f>
        <x:v>0</x:v>
      </x:c>
      <x:c r="Z153" s="8" t="n">
        <x:f>IF(22&gt;'假设'!D27,INDEX($E152:$AB152,1,22-'假设'!D27),0)</x:f>
        <x:v>0</x:v>
      </x:c>
      <x:c r="AA153" s="8" t="n">
        <x:f>IF(23&gt;'假设'!D27,INDEX($E152:$AB152,1,23-'假设'!D27),0)</x:f>
        <x:v>0</x:v>
      </x:c>
      <x:c r="AB153" s="8" t="n">
        <x:f>IF(24&gt;'假设'!D27,INDEX($E152:$AB152,1,24-'假设'!D27),0)</x:f>
        <x:v>0</x:v>
      </x:c>
    </x:row>
    <x:row r="154" ht="23" customHeight="1">
      <x:c r="A154" s="1"/>
      <x:c r="B154" s="1"/>
      <x:c r="C154" s="1" t="str">
        <x:v>E05</x:v>
      </x:c>
      <x:c r="D154" s="1" t="str">
        <x:v>直接损益成本</x:v>
      </x:c>
      <x:c r="E154" s="8" t="n">
        <x:f>IF(1='合同排期'!I22,'合同排期'!N22,0)+IF(AND(1&gt;='合同排期'!J22,1&lt;'合同排期'!J22+12),'合同排期'!O22,0)+E150*'假设'!D47</x:f>
        <x:v>0</x:v>
      </x:c>
      <x:c r="F154" s="8" t="n">
        <x:f>IF(2='合同排期'!I22,'合同排期'!N22,0)+IF(AND(2&gt;='合同排期'!J22,2&lt;'合同排期'!J22+12),'合同排期'!O22,0)+F150*'假设'!D47</x:f>
        <x:v>0</x:v>
      </x:c>
      <x:c r="G154" s="8" t="n">
        <x:f>IF(3='合同排期'!I22,'合同排期'!N22,0)+IF(AND(3&gt;='合同排期'!J22,3&lt;'合同排期'!J22+12),'合同排期'!O22,0)+G150*'假设'!D47</x:f>
        <x:v>0</x:v>
      </x:c>
      <x:c r="H154" s="8" t="n">
        <x:f>IF(4='合同排期'!I22,'合同排期'!N22,0)+IF(AND(4&gt;='合同排期'!J22,4&lt;'合同排期'!J22+12),'合同排期'!O22,0)+H150*'假设'!D47</x:f>
        <x:v>0</x:v>
      </x:c>
      <x:c r="I154" s="8" t="n">
        <x:f>IF(5='合同排期'!I22,'合同排期'!N22,0)+IF(AND(5&gt;='合同排期'!J22,5&lt;'合同排期'!J22+12),'合同排期'!O22,0)+I150*'假设'!D47</x:f>
        <x:v>0</x:v>
      </x:c>
      <x:c r="J154" s="8" t="n">
        <x:f>IF(6='合同排期'!I22,'合同排期'!N22,0)+IF(AND(6&gt;='合同排期'!J22,6&lt;'合同排期'!J22+12),'合同排期'!O22,0)+J150*'假设'!D47</x:f>
        <x:v>0</x:v>
      </x:c>
      <x:c r="K154" s="8" t="n">
        <x:f>IF(7='合同排期'!I22,'合同排期'!N22,0)+IF(AND(7&gt;='合同排期'!J22,7&lt;'合同排期'!J22+12),'合同排期'!O22,0)+K150*'假设'!D47</x:f>
        <x:v>0</x:v>
      </x:c>
      <x:c r="L154" s="8" t="n">
        <x:f>IF(8='合同排期'!I22,'合同排期'!N22,0)+IF(AND(8&gt;='合同排期'!J22,8&lt;'合同排期'!J22+12),'合同排期'!O22,0)+L150*'假设'!D47</x:f>
        <x:v>0</x:v>
      </x:c>
      <x:c r="M154" s="8" t="n">
        <x:f>IF(9='合同排期'!I22,'合同排期'!N22,0)+IF(AND(9&gt;='合同排期'!J22,9&lt;'合同排期'!J22+12),'合同排期'!O22,0)+M150*'假设'!D47</x:f>
        <x:v>0</x:v>
      </x:c>
      <x:c r="N154" s="8" t="n">
        <x:f>IF(10='合同排期'!I22,'合同排期'!N22,0)+IF(AND(10&gt;='合同排期'!J22,10&lt;'合同排期'!J22+12),'合同排期'!O22,0)+N150*'假设'!D47</x:f>
        <x:v>0</x:v>
      </x:c>
      <x:c r="O154" s="8" t="n">
        <x:f>IF(11='合同排期'!I22,'合同排期'!N22,0)+IF(AND(11&gt;='合同排期'!J22,11&lt;'合同排期'!J22+12),'合同排期'!O22,0)+O150*'假设'!D47</x:f>
        <x:v>0</x:v>
      </x:c>
      <x:c r="P154" s="8" t="n">
        <x:f>IF(12='合同排期'!I22,'合同排期'!N22,0)+IF(AND(12&gt;='合同排期'!J22,12&lt;'合同排期'!J22+12),'合同排期'!O22,0)+P150*'假设'!D47</x:f>
        <x:v>0</x:v>
      </x:c>
      <x:c r="Q154" s="8" t="n">
        <x:f>IF(13='合同排期'!I22,'合同排期'!N22,0)+IF(AND(13&gt;='合同排期'!J22,13&lt;'合同排期'!J22+12),'合同排期'!O22,0)+Q150*'假设'!D47</x:f>
        <x:v>0</x:v>
      </x:c>
      <x:c r="R154" s="8" t="n">
        <x:f>IF(14='合同排期'!I22,'合同排期'!N22,0)+IF(AND(14&gt;='合同排期'!J22,14&lt;'合同排期'!J22+12),'合同排期'!O22,0)+R150*'假设'!D47</x:f>
        <x:v>0</x:v>
      </x:c>
      <x:c r="S154" s="8" t="n">
        <x:f>IF(15='合同排期'!I22,'合同排期'!N22,0)+IF(AND(15&gt;='合同排期'!J22,15&lt;'合同排期'!J22+12),'合同排期'!O22,0)+S150*'假设'!D47</x:f>
        <x:v>0</x:v>
      </x:c>
      <x:c r="T154" s="8" t="n">
        <x:f>IF(16='合同排期'!I22,'合同排期'!N22,0)+IF(AND(16&gt;='合同排期'!J22,16&lt;'合同排期'!J22+12),'合同排期'!O22,0)+T150*'假设'!D47</x:f>
        <x:v>0</x:v>
      </x:c>
      <x:c r="U154" s="8" t="n">
        <x:f>IF(17='合同排期'!I22,'合同排期'!N22,0)+IF(AND(17&gt;='合同排期'!J22,17&lt;'合同排期'!J22+12),'合同排期'!O22,0)+U150*'假设'!D47</x:f>
        <x:v>0</x:v>
      </x:c>
      <x:c r="V154" s="8" t="n">
        <x:f>IF(18='合同排期'!I22,'合同排期'!N22,0)+IF(AND(18&gt;='合同排期'!J22,18&lt;'合同排期'!J22+12),'合同排期'!O22,0)+V150*'假设'!D47</x:f>
        <x:v>0</x:v>
      </x:c>
      <x:c r="W154" s="8" t="n">
        <x:f>IF(19='合同排期'!I22,'合同排期'!N22,0)+IF(AND(19&gt;='合同排期'!J22,19&lt;'合同排期'!J22+12),'合同排期'!O22,0)+W150*'假设'!D47</x:f>
        <x:v>0</x:v>
      </x:c>
      <x:c r="X154" s="8" t="n">
        <x:f>IF(20='合同排期'!I22,'合同排期'!N22,0)+IF(AND(20&gt;='合同排期'!J22,20&lt;'合同排期'!J22+12),'合同排期'!O22,0)+X150*'假设'!D47</x:f>
        <x:v>0</x:v>
      </x:c>
      <x:c r="Y154" s="8" t="n">
        <x:f>IF(21='合同排期'!I22,'合同排期'!N22,0)+IF(AND(21&gt;='合同排期'!J22,21&lt;'合同排期'!J22+12),'合同排期'!O22,0)+Y150*'假设'!D47</x:f>
        <x:v>0</x:v>
      </x:c>
      <x:c r="Z154" s="8" t="n">
        <x:f>IF(22='合同排期'!I22,'合同排期'!N22,0)+IF(AND(22&gt;='合同排期'!J22,22&lt;'合同排期'!J22+12),'合同排期'!O22,0)+Z150*'假设'!D47</x:f>
        <x:v>0</x:v>
      </x:c>
      <x:c r="AA154" s="8" t="n">
        <x:f>IF(23='合同排期'!I22,'合同排期'!N22,0)+IF(AND(23&gt;='合同排期'!J22,23&lt;'合同排期'!J22+12),'合同排期'!O22,0)+AA150*'假设'!D47</x:f>
        <x:v>0</x:v>
      </x:c>
      <x:c r="AB154" s="8" t="n">
        <x:f>IF(24='合同排期'!I22,'合同排期'!N22,0)+IF(AND(24&gt;='合同排期'!J22,24&lt;'合同排期'!J22+12),'合同排期'!O22,0)+AB150*'假设'!D47</x:f>
        <x:v>0</x:v>
      </x:c>
    </x:row>
    <x:row r="155" ht="23" customHeight="1">
      <x:c r="A155" s="1"/>
      <x:c r="B155" s="1"/>
      <x:c r="C155" s="1" t="str">
        <x:v>E05</x:v>
      </x:c>
      <x:c r="D155" s="1" t="str">
        <x:v>直接现金成本</x:v>
      </x:c>
      <x:c r="E155" s="8" t="n">
        <x:f>IF(AND(1&gt;='合同排期'!H22,1&lt;='合同排期'!I22),'合同排期'!N22/('合同排期'!I22-'合同排期'!H22+1),0)+IF(AND(1&gt;='合同排期'!J22,1&lt;'合同排期'!J22+12),'合同排期'!O22,0)+E153*'假设'!D47</x:f>
        <x:v>0</x:v>
      </x:c>
      <x:c r="F155" s="8" t="n">
        <x:f>IF(AND(2&gt;='合同排期'!H22,2&lt;='合同排期'!I22),'合同排期'!N22/('合同排期'!I22-'合同排期'!H22+1),0)+IF(AND(2&gt;='合同排期'!J22,2&lt;'合同排期'!J22+12),'合同排期'!O22,0)+F153*'假设'!D47</x:f>
        <x:v>0</x:v>
      </x:c>
      <x:c r="G155" s="8" t="n">
        <x:f>IF(AND(3&gt;='合同排期'!H22,3&lt;='合同排期'!I22),'合同排期'!N22/('合同排期'!I22-'合同排期'!H22+1),0)+IF(AND(3&gt;='合同排期'!J22,3&lt;'合同排期'!J22+12),'合同排期'!O22,0)+G153*'假设'!D47</x:f>
        <x:v>0</x:v>
      </x:c>
      <x:c r="H155" s="8" t="n">
        <x:f>IF(AND(4&gt;='合同排期'!H22,4&lt;='合同排期'!I22),'合同排期'!N22/('合同排期'!I22-'合同排期'!H22+1),0)+IF(AND(4&gt;='合同排期'!J22,4&lt;'合同排期'!J22+12),'合同排期'!O22,0)+H153*'假设'!D47</x:f>
        <x:v>0</x:v>
      </x:c>
      <x:c r="I155" s="8" t="n">
        <x:f>IF(AND(5&gt;='合同排期'!H22,5&lt;='合同排期'!I22),'合同排期'!N22/('合同排期'!I22-'合同排期'!H22+1),0)+IF(AND(5&gt;='合同排期'!J22,5&lt;'合同排期'!J22+12),'合同排期'!O22,0)+I153*'假设'!D47</x:f>
        <x:v>0</x:v>
      </x:c>
      <x:c r="J155" s="8" t="n">
        <x:f>IF(AND(6&gt;='合同排期'!H22,6&lt;='合同排期'!I22),'合同排期'!N22/('合同排期'!I22-'合同排期'!H22+1),0)+IF(AND(6&gt;='合同排期'!J22,6&lt;'合同排期'!J22+12),'合同排期'!O22,0)+J153*'假设'!D47</x:f>
        <x:v>0</x:v>
      </x:c>
      <x:c r="K155" s="8" t="n">
        <x:f>IF(AND(7&gt;='合同排期'!H22,7&lt;='合同排期'!I22),'合同排期'!N22/('合同排期'!I22-'合同排期'!H22+1),0)+IF(AND(7&gt;='合同排期'!J22,7&lt;'合同排期'!J22+12),'合同排期'!O22,0)+K153*'假设'!D47</x:f>
        <x:v>0</x:v>
      </x:c>
      <x:c r="L155" s="8" t="n">
        <x:f>IF(AND(8&gt;='合同排期'!H22,8&lt;='合同排期'!I22),'合同排期'!N22/('合同排期'!I22-'合同排期'!H22+1),0)+IF(AND(8&gt;='合同排期'!J22,8&lt;'合同排期'!J22+12),'合同排期'!O22,0)+L153*'假设'!D47</x:f>
        <x:v>0</x:v>
      </x:c>
      <x:c r="M155" s="8" t="n">
        <x:f>IF(AND(9&gt;='合同排期'!H22,9&lt;='合同排期'!I22),'合同排期'!N22/('合同排期'!I22-'合同排期'!H22+1),0)+IF(AND(9&gt;='合同排期'!J22,9&lt;'合同排期'!J22+12),'合同排期'!O22,0)+M153*'假设'!D47</x:f>
        <x:v>0</x:v>
      </x:c>
      <x:c r="N155" s="8" t="n">
        <x:f>IF(AND(10&gt;='合同排期'!H22,10&lt;='合同排期'!I22),'合同排期'!N22/('合同排期'!I22-'合同排期'!H22+1),0)+IF(AND(10&gt;='合同排期'!J22,10&lt;'合同排期'!J22+12),'合同排期'!O22,0)+N153*'假设'!D47</x:f>
        <x:v>0</x:v>
      </x:c>
      <x:c r="O155" s="8" t="n">
        <x:f>IF(AND(11&gt;='合同排期'!H22,11&lt;='合同排期'!I22),'合同排期'!N22/('合同排期'!I22-'合同排期'!H22+1),0)+IF(AND(11&gt;='合同排期'!J22,11&lt;'合同排期'!J22+12),'合同排期'!O22,0)+O153*'假设'!D47</x:f>
        <x:v>0</x:v>
      </x:c>
      <x:c r="P155" s="8" t="n">
        <x:f>IF(AND(12&gt;='合同排期'!H22,12&lt;='合同排期'!I22),'合同排期'!N22/('合同排期'!I22-'合同排期'!H22+1),0)+IF(AND(12&gt;='合同排期'!J22,12&lt;'合同排期'!J22+12),'合同排期'!O22,0)+P153*'假设'!D47</x:f>
        <x:v>0</x:v>
      </x:c>
      <x:c r="Q155" s="8" t="n">
        <x:f>IF(AND(13&gt;='合同排期'!H22,13&lt;='合同排期'!I22),'合同排期'!N22/('合同排期'!I22-'合同排期'!H22+1),0)+IF(AND(13&gt;='合同排期'!J22,13&lt;'合同排期'!J22+12),'合同排期'!O22,0)+Q153*'假设'!D47</x:f>
        <x:v>0</x:v>
      </x:c>
      <x:c r="R155" s="8" t="n">
        <x:f>IF(AND(14&gt;='合同排期'!H22,14&lt;='合同排期'!I22),'合同排期'!N22/('合同排期'!I22-'合同排期'!H22+1),0)+IF(AND(14&gt;='合同排期'!J22,14&lt;'合同排期'!J22+12),'合同排期'!O22,0)+R153*'假设'!D47</x:f>
        <x:v>0</x:v>
      </x:c>
      <x:c r="S155" s="8" t="n">
        <x:f>IF(AND(15&gt;='合同排期'!H22,15&lt;='合同排期'!I22),'合同排期'!N22/('合同排期'!I22-'合同排期'!H22+1),0)+IF(AND(15&gt;='合同排期'!J22,15&lt;'合同排期'!J22+12),'合同排期'!O22,0)+S153*'假设'!D47</x:f>
        <x:v>0</x:v>
      </x:c>
      <x:c r="T155" s="8" t="n">
        <x:f>IF(AND(16&gt;='合同排期'!H22,16&lt;='合同排期'!I22),'合同排期'!N22/('合同排期'!I22-'合同排期'!H22+1),0)+IF(AND(16&gt;='合同排期'!J22,16&lt;'合同排期'!J22+12),'合同排期'!O22,0)+T153*'假设'!D47</x:f>
        <x:v>0</x:v>
      </x:c>
      <x:c r="U155" s="8" t="n">
        <x:f>IF(AND(17&gt;='合同排期'!H22,17&lt;='合同排期'!I22),'合同排期'!N22/('合同排期'!I22-'合同排期'!H22+1),0)+IF(AND(17&gt;='合同排期'!J22,17&lt;'合同排期'!J22+12),'合同排期'!O22,0)+U153*'假设'!D47</x:f>
        <x:v>0</x:v>
      </x:c>
      <x:c r="V155" s="8" t="n">
        <x:f>IF(AND(18&gt;='合同排期'!H22,18&lt;='合同排期'!I22),'合同排期'!N22/('合同排期'!I22-'合同排期'!H22+1),0)+IF(AND(18&gt;='合同排期'!J22,18&lt;'合同排期'!J22+12),'合同排期'!O22,0)+V153*'假设'!D47</x:f>
        <x:v>0</x:v>
      </x:c>
      <x:c r="W155" s="8" t="n">
        <x:f>IF(AND(19&gt;='合同排期'!H22,19&lt;='合同排期'!I22),'合同排期'!N22/('合同排期'!I22-'合同排期'!H22+1),0)+IF(AND(19&gt;='合同排期'!J22,19&lt;'合同排期'!J22+12),'合同排期'!O22,0)+W153*'假设'!D47</x:f>
        <x:v>0</x:v>
      </x:c>
      <x:c r="X155" s="8" t="n">
        <x:f>IF(AND(20&gt;='合同排期'!H22,20&lt;='合同排期'!I22),'合同排期'!N22/('合同排期'!I22-'合同排期'!H22+1),0)+IF(AND(20&gt;='合同排期'!J22,20&lt;'合同排期'!J22+12),'合同排期'!O22,0)+X153*'假设'!D47</x:f>
        <x:v>0</x:v>
      </x:c>
      <x:c r="Y155" s="8" t="n">
        <x:f>IF(AND(21&gt;='合同排期'!H22,21&lt;='合同排期'!I22),'合同排期'!N22/('合同排期'!I22-'合同排期'!H22+1),0)+IF(AND(21&gt;='合同排期'!J22,21&lt;'合同排期'!J22+12),'合同排期'!O22,0)+Y153*'假设'!D47</x:f>
        <x:v>0</x:v>
      </x:c>
      <x:c r="Z155" s="8" t="n">
        <x:f>IF(AND(22&gt;='合同排期'!H22,22&lt;='合同排期'!I22),'合同排期'!N22/('合同排期'!I22-'合同排期'!H22+1),0)+IF(AND(22&gt;='合同排期'!J22,22&lt;'合同排期'!J22+12),'合同排期'!O22,0)+Z153*'假设'!D47</x:f>
        <x:v>0</x:v>
      </x:c>
      <x:c r="AA155" s="8" t="n">
        <x:f>IF(AND(23&gt;='合同排期'!H22,23&lt;='合同排期'!I22),'合同排期'!N22/('合同排期'!I22-'合同排期'!H22+1),0)+IF(AND(23&gt;='合同排期'!J22,23&lt;'合同排期'!J22+12),'合同排期'!O22,0)+AA153*'假设'!D47</x:f>
        <x:v>0</x:v>
      </x:c>
      <x:c r="AB155" s="8" t="n">
        <x:f>IF(AND(24&gt;='合同排期'!H22,24&lt;='合同排期'!I22),'合同排期'!N22/('合同排期'!I22-'合同排期'!H22+1),0)+IF(AND(24&gt;='合同排期'!J22,24&lt;'合同排期'!J22+12),'合同排期'!O22,0)+AB153*'假设'!D47</x:f>
        <x:v>0</x:v>
      </x:c>
    </x:row>
    <x:row r="156" ht="23" customHeight="1">
      <x:c r="A156" s="1"/>
      <x:c r="B156" s="1"/>
      <x:c r="C156" s="1" t="str">
        <x:v>E05</x:v>
      </x:c>
      <x:c r="D156" s="1" t="str">
        <x:v>工程交付人月</x:v>
      </x:c>
      <x:c r="E156" s="8" t="n">
        <x:f>IF(AND(1&gt;='合同排期'!H22,1&lt;='合同排期'!I22),'合同排期'!M22/('合同排期'!I22-'合同排期'!H22+1),0)</x:f>
        <x:v>0</x:v>
      </x:c>
      <x:c r="F156" s="8" t="n">
        <x:f>IF(AND(2&gt;='合同排期'!H22,2&lt;='合同排期'!I22),'合同排期'!M22/('合同排期'!I22-'合同排期'!H22+1),0)</x:f>
        <x:v>0</x:v>
      </x:c>
      <x:c r="G156" s="8" t="n">
        <x:f>IF(AND(3&gt;='合同排期'!H22,3&lt;='合同排期'!I22),'合同排期'!M22/('合同排期'!I22-'合同排期'!H22+1),0)</x:f>
        <x:v>0</x:v>
      </x:c>
      <x:c r="H156" s="8" t="n">
        <x:f>IF(AND(4&gt;='合同排期'!H22,4&lt;='合同排期'!I22),'合同排期'!M22/('合同排期'!I22-'合同排期'!H22+1),0)</x:f>
        <x:v>0</x:v>
      </x:c>
      <x:c r="I156" s="8" t="n">
        <x:f>IF(AND(5&gt;='合同排期'!H22,5&lt;='合同排期'!I22),'合同排期'!M22/('合同排期'!I22-'合同排期'!H22+1),0)</x:f>
        <x:v>0</x:v>
      </x:c>
      <x:c r="J156" s="8" t="n">
        <x:f>IF(AND(6&gt;='合同排期'!H22,6&lt;='合同排期'!I22),'合同排期'!M22/('合同排期'!I22-'合同排期'!H22+1),0)</x:f>
        <x:v>0</x:v>
      </x:c>
      <x:c r="K156" s="8" t="n">
        <x:f>IF(AND(7&gt;='合同排期'!H22,7&lt;='合同排期'!I22),'合同排期'!M22/('合同排期'!I22-'合同排期'!H22+1),0)</x:f>
        <x:v>0</x:v>
      </x:c>
      <x:c r="L156" s="8" t="n">
        <x:f>IF(AND(8&gt;='合同排期'!H22,8&lt;='合同排期'!I22),'合同排期'!M22/('合同排期'!I22-'合同排期'!H22+1),0)</x:f>
        <x:v>0</x:v>
      </x:c>
      <x:c r="M156" s="8" t="n">
        <x:f>IF(AND(9&gt;='合同排期'!H22,9&lt;='合同排期'!I22),'合同排期'!M22/('合同排期'!I22-'合同排期'!H22+1),0)</x:f>
        <x:v>0</x:v>
      </x:c>
      <x:c r="N156" s="8" t="n">
        <x:f>IF(AND(10&gt;='合同排期'!H22,10&lt;='合同排期'!I22),'合同排期'!M22/('合同排期'!I22-'合同排期'!H22+1),0)</x:f>
        <x:v>0</x:v>
      </x:c>
      <x:c r="O156" s="8" t="n">
        <x:f>IF(AND(11&gt;='合同排期'!H22,11&lt;='合同排期'!I22),'合同排期'!M22/('合同排期'!I22-'合同排期'!H22+1),0)</x:f>
        <x:v>0</x:v>
      </x:c>
      <x:c r="P156" s="8" t="n">
        <x:f>IF(AND(12&gt;='合同排期'!H22,12&lt;='合同排期'!I22),'合同排期'!M22/('合同排期'!I22-'合同排期'!H22+1),0)</x:f>
        <x:v>0</x:v>
      </x:c>
      <x:c r="Q156" s="8" t="n">
        <x:f>IF(AND(13&gt;='合同排期'!H22,13&lt;='合同排期'!I22),'合同排期'!M22/('合同排期'!I22-'合同排期'!H22+1),0)</x:f>
        <x:v>0</x:v>
      </x:c>
      <x:c r="R156" s="8" t="n">
        <x:f>IF(AND(14&gt;='合同排期'!H22,14&lt;='合同排期'!I22),'合同排期'!M22/('合同排期'!I22-'合同排期'!H22+1),0)</x:f>
        <x:v>0</x:v>
      </x:c>
      <x:c r="S156" s="8" t="n">
        <x:f>IF(AND(15&gt;='合同排期'!H22,15&lt;='合同排期'!I22),'合同排期'!M22/('合同排期'!I22-'合同排期'!H22+1),0)</x:f>
        <x:v>0</x:v>
      </x:c>
      <x:c r="T156" s="8" t="n">
        <x:f>IF(AND(16&gt;='合同排期'!H22,16&lt;='合同排期'!I22),'合同排期'!M22/('合同排期'!I22-'合同排期'!H22+1),0)</x:f>
        <x:v>0</x:v>
      </x:c>
      <x:c r="U156" s="8" t="n">
        <x:f>IF(AND(17&gt;='合同排期'!H22,17&lt;='合同排期'!I22),'合同排期'!M22/('合同排期'!I22-'合同排期'!H22+1),0)</x:f>
        <x:v>0</x:v>
      </x:c>
      <x:c r="V156" s="8" t="n">
        <x:f>IF(AND(18&gt;='合同排期'!H22,18&lt;='合同排期'!I22),'合同排期'!M22/('合同排期'!I22-'合同排期'!H22+1),0)</x:f>
        <x:v>0</x:v>
      </x:c>
      <x:c r="W156" s="8" t="n">
        <x:f>IF(AND(19&gt;='合同排期'!H22,19&lt;='合同排期'!I22),'合同排期'!M22/('合同排期'!I22-'合同排期'!H22+1),0)</x:f>
        <x:v>0</x:v>
      </x:c>
      <x:c r="X156" s="8" t="n">
        <x:f>IF(AND(20&gt;='合同排期'!H22,20&lt;='合同排期'!I22),'合同排期'!M22/('合同排期'!I22-'合同排期'!H22+1),0)</x:f>
        <x:v>0</x:v>
      </x:c>
      <x:c r="Y156" s="8" t="n">
        <x:f>IF(AND(21&gt;='合同排期'!H22,21&lt;='合同排期'!I22),'合同排期'!M22/('合同排期'!I22-'合同排期'!H22+1),0)</x:f>
        <x:v>0</x:v>
      </x:c>
      <x:c r="Z156" s="8" t="n">
        <x:f>IF(AND(22&gt;='合同排期'!H22,22&lt;='合同排期'!I22),'合同排期'!M22/('合同排期'!I22-'合同排期'!H22+1),0)</x:f>
        <x:v>0</x:v>
      </x:c>
      <x:c r="AA156" s="8" t="n">
        <x:f>IF(AND(23&gt;='合同排期'!H22,23&lt;='合同排期'!I22),'合同排期'!M22/('合同排期'!I22-'合同排期'!H22+1),0)</x:f>
        <x:v>0</x:v>
      </x:c>
      <x:c r="AB156" s="8" t="n">
        <x:f>IF(AND(24&gt;='合同排期'!H22,24&lt;='合同排期'!I22),'合同排期'!M22/('合同排期'!I22-'合同排期'!H22+1),0)</x:f>
        <x:v>0</x:v>
      </x:c>
    </x:row>
    <x:row r="157" ht="23" customHeight="1">
      <x:c r="A157" s="1"/>
      <x:c r="B157" s="1"/>
      <x:c r="C157" s="1" t="str">
        <x:v>E05</x:v>
      </x:c>
      <x:c r="D157" s="1" t="str">
        <x:v>生效ARR</x:v>
      </x:c>
      <x:c r="E157" s="8" t="n">
        <x:f>IF(AND(1&gt;='合同排期'!J22,1&lt;'合同排期'!J22+12),'合同排期'!L22,0)</x:f>
        <x:v>0</x:v>
      </x:c>
      <x:c r="F157" s="8" t="n">
        <x:f>IF(AND(2&gt;='合同排期'!J22,2&lt;'合同排期'!J22+12),'合同排期'!L22,0)</x:f>
        <x:v>0</x:v>
      </x:c>
      <x:c r="G157" s="8" t="n">
        <x:f>IF(AND(3&gt;='合同排期'!J22,3&lt;'合同排期'!J22+12),'合同排期'!L22,0)</x:f>
        <x:v>0</x:v>
      </x:c>
      <x:c r="H157" s="8" t="n">
        <x:f>IF(AND(4&gt;='合同排期'!J22,4&lt;'合同排期'!J22+12),'合同排期'!L22,0)</x:f>
        <x:v>0</x:v>
      </x:c>
      <x:c r="I157" s="8" t="n">
        <x:f>IF(AND(5&gt;='合同排期'!J22,5&lt;'合同排期'!J22+12),'合同排期'!L22,0)</x:f>
        <x:v>0</x:v>
      </x:c>
      <x:c r="J157" s="8" t="n">
        <x:f>IF(AND(6&gt;='合同排期'!J22,6&lt;'合同排期'!J22+12),'合同排期'!L22,0)</x:f>
        <x:v>0</x:v>
      </x:c>
      <x:c r="K157" s="8" t="n">
        <x:f>IF(AND(7&gt;='合同排期'!J22,7&lt;'合同排期'!J22+12),'合同排期'!L22,0)</x:f>
        <x:v>0</x:v>
      </x:c>
      <x:c r="L157" s="8" t="n">
        <x:f>IF(AND(8&gt;='合同排期'!J22,8&lt;'合同排期'!J22+12),'合同排期'!L22,0)</x:f>
        <x:v>0</x:v>
      </x:c>
      <x:c r="M157" s="8" t="n">
        <x:f>IF(AND(9&gt;='合同排期'!J22,9&lt;'合同排期'!J22+12),'合同排期'!L22,0)</x:f>
        <x:v>0</x:v>
      </x:c>
      <x:c r="N157" s="8" t="n">
        <x:f>IF(AND(10&gt;='合同排期'!J22,10&lt;'合同排期'!J22+12),'合同排期'!L22,0)</x:f>
        <x:v>0</x:v>
      </x:c>
      <x:c r="O157" s="8" t="n">
        <x:f>IF(AND(11&gt;='合同排期'!J22,11&lt;'合同排期'!J22+12),'合同排期'!L22,0)</x:f>
        <x:v>0</x:v>
      </x:c>
      <x:c r="P157" s="8" t="n">
        <x:f>IF(AND(12&gt;='合同排期'!J22,12&lt;'合同排期'!J22+12),'合同排期'!L22,0)</x:f>
        <x:v>0</x:v>
      </x:c>
      <x:c r="Q157" s="8" t="n">
        <x:f>IF(AND(13&gt;='合同排期'!J22,13&lt;'合同排期'!J22+12),'合同排期'!L22,0)</x:f>
        <x:v>0</x:v>
      </x:c>
      <x:c r="R157" s="8" t="n">
        <x:f>IF(AND(14&gt;='合同排期'!J22,14&lt;'合同排期'!J22+12),'合同排期'!L22,0)</x:f>
        <x:v>0</x:v>
      </x:c>
      <x:c r="S157" s="8" t="n">
        <x:f>IF(AND(15&gt;='合同排期'!J22,15&lt;'合同排期'!J22+12),'合同排期'!L22,0)</x:f>
        <x:v>0</x:v>
      </x:c>
      <x:c r="T157" s="8" t="n">
        <x:f>IF(AND(16&gt;='合同排期'!J22,16&lt;'合同排期'!J22+12),'合同排期'!L22,0)</x:f>
        <x:v>0</x:v>
      </x:c>
      <x:c r="U157" s="8" t="n">
        <x:f>IF(AND(17&gt;='合同排期'!J22,17&lt;'合同排期'!J22+12),'合同排期'!L22,0)</x:f>
        <x:v>0</x:v>
      </x:c>
      <x:c r="V157" s="8" t="n">
        <x:f>IF(AND(18&gt;='合同排期'!J22,18&lt;'合同排期'!J22+12),'合同排期'!L22,0)</x:f>
        <x:v>0</x:v>
      </x:c>
      <x:c r="W157" s="8" t="n">
        <x:f>IF(AND(19&gt;='合同排期'!J22,19&lt;'合同排期'!J22+12),'合同排期'!L22,0)</x:f>
        <x:v>0</x:v>
      </x:c>
      <x:c r="X157" s="8" t="n">
        <x:f>IF(AND(20&gt;='合同排期'!J22,20&lt;'合同排期'!J22+12),'合同排期'!L22,0)</x:f>
        <x:v>0</x:v>
      </x:c>
      <x:c r="Y157" s="8" t="n">
        <x:f>IF(AND(21&gt;='合同排期'!J22,21&lt;'合同排期'!J22+12),'合同排期'!L22,0)</x:f>
        <x:v>0</x:v>
      </x:c>
      <x:c r="Z157" s="8" t="n">
        <x:f>IF(AND(22&gt;='合同排期'!J22,22&lt;'合同排期'!J22+12),'合同排期'!L22,0)</x:f>
        <x:v>0</x:v>
      </x:c>
      <x:c r="AA157" s="8" t="n">
        <x:f>IF(AND(23&gt;='合同排期'!J22,23&lt;'合同排期'!J22+12),'合同排期'!L22,0)</x:f>
        <x:v>0</x:v>
      </x:c>
      <x:c r="AB157" s="8" t="n">
        <x:f>IF(AND(24&gt;='合同排期'!J22,24&lt;'合同排期'!J22+12),'合同排期'!L22,0)</x:f>
        <x:v>0</x:v>
      </x:c>
    </x:row>
    <x:row r="158" ht="23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  <x:c r="AA158" s="1"/>
      <x:c r="AB158" s="1"/>
    </x:row>
    <x:row r="159" ht="23" customHeight="1">
      <x:c r="A159" s="1"/>
      <x:c r="B159" s="1"/>
      <x:c r="C159" s="1" t="str">
        <x:v>E06</x:v>
      </x:c>
      <x:c r="D159" s="1" t="str">
        <x:v>净签约</x:v>
      </x:c>
      <x:c r="E159" s="8" t="n">
        <x:f>IF(1='合同排期'!H23,'合同排期'!K23+'合同排期'!L23,0)</x:f>
        <x:v>0</x:v>
      </x:c>
      <x:c r="F159" s="8" t="n">
        <x:f>IF(2='合同排期'!H23,'合同排期'!K23+'合同排期'!L23,0)</x:f>
        <x:v>0</x:v>
      </x:c>
      <x:c r="G159" s="8" t="n">
        <x:f>IF(3='合同排期'!H23,'合同排期'!K23+'合同排期'!L23,0)</x:f>
        <x:v>0</x:v>
      </x:c>
      <x:c r="H159" s="8" t="n">
        <x:f>IF(4='合同排期'!H23,'合同排期'!K23+'合同排期'!L23,0)</x:f>
        <x:v>0</x:v>
      </x:c>
      <x:c r="I159" s="8" t="n">
        <x:f>IF(5='合同排期'!H23,'合同排期'!K23+'合同排期'!L23,0)</x:f>
        <x:v>0</x:v>
      </x:c>
      <x:c r="J159" s="8" t="n">
        <x:f>IF(6='合同排期'!H23,'合同排期'!K23+'合同排期'!L23,0)</x:f>
        <x:v>0</x:v>
      </x:c>
      <x:c r="K159" s="8" t="n">
        <x:f>IF(7='合同排期'!H23,'合同排期'!K23+'合同排期'!L23,0)</x:f>
        <x:v>0</x:v>
      </x:c>
      <x:c r="L159" s="8" t="n">
        <x:f>IF(8='合同排期'!H23,'合同排期'!K23+'合同排期'!L23,0)</x:f>
        <x:v>0</x:v>
      </x:c>
      <x:c r="M159" s="8" t="n">
        <x:f>IF(9='合同排期'!H23,'合同排期'!K23+'合同排期'!L23,0)</x:f>
        <x:v>0</x:v>
      </x:c>
      <x:c r="N159" s="8" t="n">
        <x:f>IF(10='合同排期'!H23,'合同排期'!K23+'合同排期'!L23,0)</x:f>
        <x:v>0</x:v>
      </x:c>
      <x:c r="O159" s="8" t="n">
        <x:f>IF(11='合同排期'!H23,'合同排期'!K23+'合同排期'!L23,0)</x:f>
        <x:v>0</x:v>
      </x:c>
      <x:c r="P159" s="8" t="n">
        <x:f>IF(12='合同排期'!H23,'合同排期'!K23+'合同排期'!L23,0)</x:f>
        <x:v>0</x:v>
      </x:c>
      <x:c r="Q159" s="8" t="n">
        <x:f>IF(13='合同排期'!H23,'合同排期'!K23+'合同排期'!L23,0)</x:f>
        <x:v>0</x:v>
      </x:c>
      <x:c r="R159" s="8" t="n">
        <x:f>IF(14='合同排期'!H23,'合同排期'!K23+'合同排期'!L23,0)</x:f>
        <x:v>0</x:v>
      </x:c>
      <x:c r="S159" s="8" t="n">
        <x:f>IF(15='合同排期'!H23,'合同排期'!K23+'合同排期'!L23,0)</x:f>
        <x:v>0</x:v>
      </x:c>
      <x:c r="T159" s="8" t="n">
        <x:f>IF(16='合同排期'!H23,'合同排期'!K23+'合同排期'!L23,0)</x:f>
        <x:v>0</x:v>
      </x:c>
      <x:c r="U159" s="8" t="n">
        <x:f>IF(17='合同排期'!H23,'合同排期'!K23+'合同排期'!L23,0)</x:f>
        <x:v>0</x:v>
      </x:c>
      <x:c r="V159" s="8" t="n">
        <x:f>IF(18='合同排期'!H23,'合同排期'!K23+'合同排期'!L23,0)</x:f>
        <x:v>0</x:v>
      </x:c>
      <x:c r="W159" s="8" t="n">
        <x:f>IF(19='合同排期'!H23,'合同排期'!K23+'合同排期'!L23,0)</x:f>
        <x:v>0</x:v>
      </x:c>
      <x:c r="X159" s="8" t="n">
        <x:f>IF(20='合同排期'!H23,'合同排期'!K23+'合同排期'!L23,0)</x:f>
        <x:v>0</x:v>
      </x:c>
      <x:c r="Y159" s="8" t="n">
        <x:f>IF(21='合同排期'!H23,'合同排期'!K23+'合同排期'!L23,0)</x:f>
        <x:v>0</x:v>
      </x:c>
      <x:c r="Z159" s="8" t="n">
        <x:f>IF(22='合同排期'!H23,'合同排期'!K23+'合同排期'!L23,0)</x:f>
        <x:v>0</x:v>
      </x:c>
      <x:c r="AA159" s="8" t="n">
        <x:f>IF(23='合同排期'!H23,'合同排期'!K23+'合同排期'!L23,0)</x:f>
        <x:v>0</x:v>
      </x:c>
      <x:c r="AB159" s="8" t="n">
        <x:f>IF(24='合同排期'!H23,'合同排期'!K23+'合同排期'!L23,0)</x:f>
        <x:v>0</x:v>
      </x:c>
    </x:row>
    <x:row r="160" ht="23" customHeight="1">
      <x:c r="A160" s="1"/>
      <x:c r="B160" s="1"/>
      <x:c r="C160" s="1" t="str">
        <x:v>E06</x:v>
      </x:c>
      <x:c r="D160" s="1" t="str">
        <x:v>确认收入</x:v>
      </x:c>
      <x:c r="E160" s="8" t="n">
        <x:f>IF(1='合同排期'!I23,'合同排期'!K23,0)+IF(AND(1&gt;='合同排期'!J23,1&lt;'合同排期'!J23+12),'合同排期'!L23/12,0)</x:f>
        <x:v>0</x:v>
      </x:c>
      <x:c r="F160" s="8" t="n">
        <x:f>IF(2='合同排期'!I23,'合同排期'!K23,0)+IF(AND(2&gt;='合同排期'!J23,2&lt;'合同排期'!J23+12),'合同排期'!L23/12,0)</x:f>
        <x:v>0</x:v>
      </x:c>
      <x:c r="G160" s="8" t="n">
        <x:f>IF(3='合同排期'!I23,'合同排期'!K23,0)+IF(AND(3&gt;='合同排期'!J23,3&lt;'合同排期'!J23+12),'合同排期'!L23/12,0)</x:f>
        <x:v>0</x:v>
      </x:c>
      <x:c r="H160" s="8" t="n">
        <x:f>IF(4='合同排期'!I23,'合同排期'!K23,0)+IF(AND(4&gt;='合同排期'!J23,4&lt;'合同排期'!J23+12),'合同排期'!L23/12,0)</x:f>
        <x:v>0</x:v>
      </x:c>
      <x:c r="I160" s="8" t="n">
        <x:f>IF(5='合同排期'!I23,'合同排期'!K23,0)+IF(AND(5&gt;='合同排期'!J23,5&lt;'合同排期'!J23+12),'合同排期'!L23/12,0)</x:f>
        <x:v>0</x:v>
      </x:c>
      <x:c r="J160" s="8" t="n">
        <x:f>IF(6='合同排期'!I23,'合同排期'!K23,0)+IF(AND(6&gt;='合同排期'!J23,6&lt;'合同排期'!J23+12),'合同排期'!L23/12,0)</x:f>
        <x:v>0</x:v>
      </x:c>
      <x:c r="K160" s="8" t="n">
        <x:f>IF(7='合同排期'!I23,'合同排期'!K23,0)+IF(AND(7&gt;='合同排期'!J23,7&lt;'合同排期'!J23+12),'合同排期'!L23/12,0)</x:f>
        <x:v>0</x:v>
      </x:c>
      <x:c r="L160" s="8" t="n">
        <x:f>IF(8='合同排期'!I23,'合同排期'!K23,0)+IF(AND(8&gt;='合同排期'!J23,8&lt;'合同排期'!J23+12),'合同排期'!L23/12,0)</x:f>
        <x:v>0</x:v>
      </x:c>
      <x:c r="M160" s="8" t="n">
        <x:f>IF(9='合同排期'!I23,'合同排期'!K23,0)+IF(AND(9&gt;='合同排期'!J23,9&lt;'合同排期'!J23+12),'合同排期'!L23/12,0)</x:f>
        <x:v>0</x:v>
      </x:c>
      <x:c r="N160" s="8" t="n">
        <x:f>IF(10='合同排期'!I23,'合同排期'!K23,0)+IF(AND(10&gt;='合同排期'!J23,10&lt;'合同排期'!J23+12),'合同排期'!L23/12,0)</x:f>
        <x:v>0</x:v>
      </x:c>
      <x:c r="O160" s="8" t="n">
        <x:f>IF(11='合同排期'!I23,'合同排期'!K23,0)+IF(AND(11&gt;='合同排期'!J23,11&lt;'合同排期'!J23+12),'合同排期'!L23/12,0)</x:f>
        <x:v>0</x:v>
      </x:c>
      <x:c r="P160" s="8" t="n">
        <x:f>IF(12='合同排期'!I23,'合同排期'!K23,0)+IF(AND(12&gt;='合同排期'!J23,12&lt;'合同排期'!J23+12),'合同排期'!L23/12,0)</x:f>
        <x:v>0</x:v>
      </x:c>
      <x:c r="Q160" s="8" t="n">
        <x:f>IF(13='合同排期'!I23,'合同排期'!K23,0)+IF(AND(13&gt;='合同排期'!J23,13&lt;'合同排期'!J23+12),'合同排期'!L23/12,0)</x:f>
        <x:v>0</x:v>
      </x:c>
      <x:c r="R160" s="8" t="n">
        <x:f>IF(14='合同排期'!I23,'合同排期'!K23,0)+IF(AND(14&gt;='合同排期'!J23,14&lt;'合同排期'!J23+12),'合同排期'!L23/12,0)</x:f>
        <x:v>0</x:v>
      </x:c>
      <x:c r="S160" s="8" t="n">
        <x:f>IF(15='合同排期'!I23,'合同排期'!K23,0)+IF(AND(15&gt;='合同排期'!J23,15&lt;'合同排期'!J23+12),'合同排期'!L23/12,0)</x:f>
        <x:v>0</x:v>
      </x:c>
      <x:c r="T160" s="8" t="n">
        <x:f>IF(16='合同排期'!I23,'合同排期'!K23,0)+IF(AND(16&gt;='合同排期'!J23,16&lt;'合同排期'!J23+12),'合同排期'!L23/12,0)</x:f>
        <x:v>0</x:v>
      </x:c>
      <x:c r="U160" s="8" t="n">
        <x:f>IF(17='合同排期'!I23,'合同排期'!K23,0)+IF(AND(17&gt;='合同排期'!J23,17&lt;'合同排期'!J23+12),'合同排期'!L23/12,0)</x:f>
        <x:v>0</x:v>
      </x:c>
      <x:c r="V160" s="8" t="n">
        <x:f>IF(18='合同排期'!I23,'合同排期'!K23,0)+IF(AND(18&gt;='合同排期'!J23,18&lt;'合同排期'!J23+12),'合同排期'!L23/12,0)</x:f>
        <x:v>0</x:v>
      </x:c>
      <x:c r="W160" s="8" t="n">
        <x:f>IF(19='合同排期'!I23,'合同排期'!K23,0)+IF(AND(19&gt;='合同排期'!J23,19&lt;'合同排期'!J23+12),'合同排期'!L23/12,0)</x:f>
        <x:v>0</x:v>
      </x:c>
      <x:c r="X160" s="8" t="n">
        <x:f>IF(20='合同排期'!I23,'合同排期'!K23,0)+IF(AND(20&gt;='合同排期'!J23,20&lt;'合同排期'!J23+12),'合同排期'!L23/12,0)</x:f>
        <x:v>0</x:v>
      </x:c>
      <x:c r="Y160" s="8" t="n">
        <x:f>IF(21='合同排期'!I23,'合同排期'!K23,0)+IF(AND(21&gt;='合同排期'!J23,21&lt;'合同排期'!J23+12),'合同排期'!L23/12,0)</x:f>
        <x:v>0</x:v>
      </x:c>
      <x:c r="Z160" s="8" t="n">
        <x:f>IF(22='合同排期'!I23,'合同排期'!K23,0)+IF(AND(22&gt;='合同排期'!J23,22&lt;'合同排期'!J23+12),'合同排期'!L23/12,0)</x:f>
        <x:v>0</x:v>
      </x:c>
      <x:c r="AA160" s="8" t="n">
        <x:f>IF(23='合同排期'!I23,'合同排期'!K23,0)+IF(AND(23&gt;='合同排期'!J23,23&lt;'合同排期'!J23+12),'合同排期'!L23/12,0)</x:f>
        <x:v>0</x:v>
      </x:c>
      <x:c r="AB160" s="8" t="n">
        <x:f>IF(24='合同排期'!I23,'合同排期'!K23,0)+IF(AND(24&gt;='合同排期'!J23,24&lt;'合同排期'!J23+12),'合同排期'!L23/12,0)</x:f>
        <x:v>0</x:v>
      </x:c>
    </x:row>
    <x:row r="161" ht="23" customHeight="1">
      <x:c r="A161" s="1"/>
      <x:c r="B161" s="1"/>
      <x:c r="C161" s="1" t="str">
        <x:v>E06</x:v>
      </x:c>
      <x:c r="D161" s="1" t="str">
        <x:v>开票</x:v>
      </x:c>
      <x:c r="E161" s="8" t="n">
        <x:f>IF(1='合同排期'!H23,'合同排期'!K23*'合同排期'!P23,0)+IF(1='合同排期'!S23,'合同排期'!K23*'合同排期'!Q23,0)+IF(1='合同排期'!I23,'合同排期'!K23*'合同排期'!R23,0)+IF(1='合同排期'!J23,'合同排期'!L23,0)</x:f>
        <x:v>0</x:v>
      </x:c>
      <x:c r="F161" s="8" t="n">
        <x:f>IF(2='合同排期'!H23,'合同排期'!K23*'合同排期'!P23,0)+IF(2='合同排期'!S23,'合同排期'!K23*'合同排期'!Q23,0)+IF(2='合同排期'!I23,'合同排期'!K23*'合同排期'!R23,0)+IF(2='合同排期'!J23,'合同排期'!L23,0)</x:f>
        <x:v>0</x:v>
      </x:c>
      <x:c r="G161" s="8" t="n">
        <x:f>IF(3='合同排期'!H23,'合同排期'!K23*'合同排期'!P23,0)+IF(3='合同排期'!S23,'合同排期'!K23*'合同排期'!Q23,0)+IF(3='合同排期'!I23,'合同排期'!K23*'合同排期'!R23,0)+IF(3='合同排期'!J23,'合同排期'!L23,0)</x:f>
        <x:v>0</x:v>
      </x:c>
      <x:c r="H161" s="8" t="n">
        <x:f>IF(4='合同排期'!H23,'合同排期'!K23*'合同排期'!P23,0)+IF(4='合同排期'!S23,'合同排期'!K23*'合同排期'!Q23,0)+IF(4='合同排期'!I23,'合同排期'!K23*'合同排期'!R23,0)+IF(4='合同排期'!J23,'合同排期'!L23,0)</x:f>
        <x:v>0</x:v>
      </x:c>
      <x:c r="I161" s="8" t="n">
        <x:f>IF(5='合同排期'!H23,'合同排期'!K23*'合同排期'!P23,0)+IF(5='合同排期'!S23,'合同排期'!K23*'合同排期'!Q23,0)+IF(5='合同排期'!I23,'合同排期'!K23*'合同排期'!R23,0)+IF(5='合同排期'!J23,'合同排期'!L23,0)</x:f>
        <x:v>0</x:v>
      </x:c>
      <x:c r="J161" s="8" t="n">
        <x:f>IF(6='合同排期'!H23,'合同排期'!K23*'合同排期'!P23,0)+IF(6='合同排期'!S23,'合同排期'!K23*'合同排期'!Q23,0)+IF(6='合同排期'!I23,'合同排期'!K23*'合同排期'!R23,0)+IF(6='合同排期'!J23,'合同排期'!L23,0)</x:f>
        <x:v>0</x:v>
      </x:c>
      <x:c r="K161" s="8" t="n">
        <x:f>IF(7='合同排期'!H23,'合同排期'!K23*'合同排期'!P23,0)+IF(7='合同排期'!S23,'合同排期'!K23*'合同排期'!Q23,0)+IF(7='合同排期'!I23,'合同排期'!K23*'合同排期'!R23,0)+IF(7='合同排期'!J23,'合同排期'!L23,0)</x:f>
        <x:v>0</x:v>
      </x:c>
      <x:c r="L161" s="8" t="n">
        <x:f>IF(8='合同排期'!H23,'合同排期'!K23*'合同排期'!P23,0)+IF(8='合同排期'!S23,'合同排期'!K23*'合同排期'!Q23,0)+IF(8='合同排期'!I23,'合同排期'!K23*'合同排期'!R23,0)+IF(8='合同排期'!J23,'合同排期'!L23,0)</x:f>
        <x:v>0</x:v>
      </x:c>
      <x:c r="M161" s="8" t="n">
        <x:f>IF(9='合同排期'!H23,'合同排期'!K23*'合同排期'!P23,0)+IF(9='合同排期'!S23,'合同排期'!K23*'合同排期'!Q23,0)+IF(9='合同排期'!I23,'合同排期'!K23*'合同排期'!R23,0)+IF(9='合同排期'!J23,'合同排期'!L23,0)</x:f>
        <x:v>0</x:v>
      </x:c>
      <x:c r="N161" s="8" t="n">
        <x:f>IF(10='合同排期'!H23,'合同排期'!K23*'合同排期'!P23,0)+IF(10='合同排期'!S23,'合同排期'!K23*'合同排期'!Q23,0)+IF(10='合同排期'!I23,'合同排期'!K23*'合同排期'!R23,0)+IF(10='合同排期'!J23,'合同排期'!L23,0)</x:f>
        <x:v>0</x:v>
      </x:c>
      <x:c r="O161" s="8" t="n">
        <x:f>IF(11='合同排期'!H23,'合同排期'!K23*'合同排期'!P23,0)+IF(11='合同排期'!S23,'合同排期'!K23*'合同排期'!Q23,0)+IF(11='合同排期'!I23,'合同排期'!K23*'合同排期'!R23,0)+IF(11='合同排期'!J23,'合同排期'!L23,0)</x:f>
        <x:v>0</x:v>
      </x:c>
      <x:c r="P161" s="8" t="n">
        <x:f>IF(12='合同排期'!H23,'合同排期'!K23*'合同排期'!P23,0)+IF(12='合同排期'!S23,'合同排期'!K23*'合同排期'!Q23,0)+IF(12='合同排期'!I23,'合同排期'!K23*'合同排期'!R23,0)+IF(12='合同排期'!J23,'合同排期'!L23,0)</x:f>
        <x:v>0</x:v>
      </x:c>
      <x:c r="Q161" s="8" t="n">
        <x:f>IF(13='合同排期'!H23,'合同排期'!K23*'合同排期'!P23,0)+IF(13='合同排期'!S23,'合同排期'!K23*'合同排期'!Q23,0)+IF(13='合同排期'!I23,'合同排期'!K23*'合同排期'!R23,0)+IF(13='合同排期'!J23,'合同排期'!L23,0)</x:f>
        <x:v>0</x:v>
      </x:c>
      <x:c r="R161" s="8" t="n">
        <x:f>IF(14='合同排期'!H23,'合同排期'!K23*'合同排期'!P23,0)+IF(14='合同排期'!S23,'合同排期'!K23*'合同排期'!Q23,0)+IF(14='合同排期'!I23,'合同排期'!K23*'合同排期'!R23,0)+IF(14='合同排期'!J23,'合同排期'!L23,0)</x:f>
        <x:v>0</x:v>
      </x:c>
      <x:c r="S161" s="8" t="n">
        <x:f>IF(15='合同排期'!H23,'合同排期'!K23*'合同排期'!P23,0)+IF(15='合同排期'!S23,'合同排期'!K23*'合同排期'!Q23,0)+IF(15='合同排期'!I23,'合同排期'!K23*'合同排期'!R23,0)+IF(15='合同排期'!J23,'合同排期'!L23,0)</x:f>
        <x:v>0</x:v>
      </x:c>
      <x:c r="T161" s="8" t="n">
        <x:f>IF(16='合同排期'!H23,'合同排期'!K23*'合同排期'!P23,0)+IF(16='合同排期'!S23,'合同排期'!K23*'合同排期'!Q23,0)+IF(16='合同排期'!I23,'合同排期'!K23*'合同排期'!R23,0)+IF(16='合同排期'!J23,'合同排期'!L23,0)</x:f>
        <x:v>0</x:v>
      </x:c>
      <x:c r="U161" s="8" t="n">
        <x:f>IF(17='合同排期'!H23,'合同排期'!K23*'合同排期'!P23,0)+IF(17='合同排期'!S23,'合同排期'!K23*'合同排期'!Q23,0)+IF(17='合同排期'!I23,'合同排期'!K23*'合同排期'!R23,0)+IF(17='合同排期'!J23,'合同排期'!L23,0)</x:f>
        <x:v>0</x:v>
      </x:c>
      <x:c r="V161" s="8" t="n">
        <x:f>IF(18='合同排期'!H23,'合同排期'!K23*'合同排期'!P23,0)+IF(18='合同排期'!S23,'合同排期'!K23*'合同排期'!Q23,0)+IF(18='合同排期'!I23,'合同排期'!K23*'合同排期'!R23,0)+IF(18='合同排期'!J23,'合同排期'!L23,0)</x:f>
        <x:v>0</x:v>
      </x:c>
      <x:c r="W161" s="8" t="n">
        <x:f>IF(19='合同排期'!H23,'合同排期'!K23*'合同排期'!P23,0)+IF(19='合同排期'!S23,'合同排期'!K23*'合同排期'!Q23,0)+IF(19='合同排期'!I23,'合同排期'!K23*'合同排期'!R23,0)+IF(19='合同排期'!J23,'合同排期'!L23,0)</x:f>
        <x:v>0</x:v>
      </x:c>
      <x:c r="X161" s="8" t="n">
        <x:f>IF(20='合同排期'!H23,'合同排期'!K23*'合同排期'!P23,0)+IF(20='合同排期'!S23,'合同排期'!K23*'合同排期'!Q23,0)+IF(20='合同排期'!I23,'合同排期'!K23*'合同排期'!R23,0)+IF(20='合同排期'!J23,'合同排期'!L23,0)</x:f>
        <x:v>0</x:v>
      </x:c>
      <x:c r="Y161" s="8" t="n">
        <x:f>IF(21='合同排期'!H23,'合同排期'!K23*'合同排期'!P23,0)+IF(21='合同排期'!S23,'合同排期'!K23*'合同排期'!Q23,0)+IF(21='合同排期'!I23,'合同排期'!K23*'合同排期'!R23,0)+IF(21='合同排期'!J23,'合同排期'!L23,0)</x:f>
        <x:v>0</x:v>
      </x:c>
      <x:c r="Z161" s="8" t="n">
        <x:f>IF(22='合同排期'!H23,'合同排期'!K23*'合同排期'!P23,0)+IF(22='合同排期'!S23,'合同排期'!K23*'合同排期'!Q23,0)+IF(22='合同排期'!I23,'合同排期'!K23*'合同排期'!R23,0)+IF(22='合同排期'!J23,'合同排期'!L23,0)</x:f>
        <x:v>0</x:v>
      </x:c>
      <x:c r="AA161" s="8" t="n">
        <x:f>IF(23='合同排期'!H23,'合同排期'!K23*'合同排期'!P23,0)+IF(23='合同排期'!S23,'合同排期'!K23*'合同排期'!Q23,0)+IF(23='合同排期'!I23,'合同排期'!K23*'合同排期'!R23,0)+IF(23='合同排期'!J23,'合同排期'!L23,0)</x:f>
        <x:v>0</x:v>
      </x:c>
      <x:c r="AB161" s="8" t="n">
        <x:f>IF(24='合同排期'!H23,'合同排期'!K23*'合同排期'!P23,0)+IF(24='合同排期'!S23,'合同排期'!K23*'合同排期'!Q23,0)+IF(24='合同排期'!I23,'合同排期'!K23*'合同排期'!R23,0)+IF(24='合同排期'!J23,'合同排期'!L23,0)</x:f>
        <x:v>0</x:v>
      </x:c>
    </x:row>
    <x:row r="162" ht="23" customHeight="1">
      <x:c r="A162" s="1"/>
      <x:c r="B162" s="1"/>
      <x:c r="C162" s="1" t="str">
        <x:v>E06</x:v>
      </x:c>
      <x:c r="D162" s="1" t="str">
        <x:v>回款</x:v>
      </x:c>
      <x:c r="E162" s="8" t="n">
        <x:f>IF(1&gt;'假设'!D27,INDEX($E161:$AB161,1,1-'假设'!D27),0)</x:f>
        <x:v>0</x:v>
      </x:c>
      <x:c r="F162" s="8" t="n">
        <x:f>IF(2&gt;'假设'!D27,INDEX($E161:$AB161,1,2-'假设'!D27),0)</x:f>
        <x:v>0</x:v>
      </x:c>
      <x:c r="G162" s="8" t="n">
        <x:f>IF(3&gt;'假设'!D27,INDEX($E161:$AB161,1,3-'假设'!D27),0)</x:f>
        <x:v>0</x:v>
      </x:c>
      <x:c r="H162" s="8" t="n">
        <x:f>IF(4&gt;'假设'!D27,INDEX($E161:$AB161,1,4-'假设'!D27),0)</x:f>
        <x:v>0</x:v>
      </x:c>
      <x:c r="I162" s="8" t="n">
        <x:f>IF(5&gt;'假设'!D27,INDEX($E161:$AB161,1,5-'假设'!D27),0)</x:f>
        <x:v>0</x:v>
      </x:c>
      <x:c r="J162" s="8" t="n">
        <x:f>IF(6&gt;'假设'!D27,INDEX($E161:$AB161,1,6-'假设'!D27),0)</x:f>
        <x:v>0</x:v>
      </x:c>
      <x:c r="K162" s="8" t="n">
        <x:f>IF(7&gt;'假设'!D27,INDEX($E161:$AB161,1,7-'假设'!D27),0)</x:f>
        <x:v>0</x:v>
      </x:c>
      <x:c r="L162" s="8" t="n">
        <x:f>IF(8&gt;'假设'!D27,INDEX($E161:$AB161,1,8-'假设'!D27),0)</x:f>
        <x:v>0</x:v>
      </x:c>
      <x:c r="M162" s="8" t="n">
        <x:f>IF(9&gt;'假设'!D27,INDEX($E161:$AB161,1,9-'假设'!D27),0)</x:f>
        <x:v>0</x:v>
      </x:c>
      <x:c r="N162" s="8" t="n">
        <x:f>IF(10&gt;'假设'!D27,INDEX($E161:$AB161,1,10-'假设'!D27),0)</x:f>
        <x:v>0</x:v>
      </x:c>
      <x:c r="O162" s="8" t="n">
        <x:f>IF(11&gt;'假设'!D27,INDEX($E161:$AB161,1,11-'假设'!D27),0)</x:f>
        <x:v>0</x:v>
      </x:c>
      <x:c r="P162" s="8" t="n">
        <x:f>IF(12&gt;'假设'!D27,INDEX($E161:$AB161,1,12-'假设'!D27),0)</x:f>
        <x:v>0</x:v>
      </x:c>
      <x:c r="Q162" s="8" t="n">
        <x:f>IF(13&gt;'假设'!D27,INDEX($E161:$AB161,1,13-'假设'!D27),0)</x:f>
        <x:v>0</x:v>
      </x:c>
      <x:c r="R162" s="8" t="n">
        <x:f>IF(14&gt;'假设'!D27,INDEX($E161:$AB161,1,14-'假设'!D27),0)</x:f>
        <x:v>0</x:v>
      </x:c>
      <x:c r="S162" s="8" t="n">
        <x:f>IF(15&gt;'假设'!D27,INDEX($E161:$AB161,1,15-'假设'!D27),0)</x:f>
        <x:v>0</x:v>
      </x:c>
      <x:c r="T162" s="8" t="n">
        <x:f>IF(16&gt;'假设'!D27,INDEX($E161:$AB161,1,16-'假设'!D27),0)</x:f>
        <x:v>0</x:v>
      </x:c>
      <x:c r="U162" s="8" t="n">
        <x:f>IF(17&gt;'假设'!D27,INDEX($E161:$AB161,1,17-'假设'!D27),0)</x:f>
        <x:v>0</x:v>
      </x:c>
      <x:c r="V162" s="8" t="n">
        <x:f>IF(18&gt;'假设'!D27,INDEX($E161:$AB161,1,18-'假设'!D27),0)</x:f>
        <x:v>0</x:v>
      </x:c>
      <x:c r="W162" s="8" t="n">
        <x:f>IF(19&gt;'假设'!D27,INDEX($E161:$AB161,1,19-'假设'!D27),0)</x:f>
        <x:v>0</x:v>
      </x:c>
      <x:c r="X162" s="8" t="n">
        <x:f>IF(20&gt;'假设'!D27,INDEX($E161:$AB161,1,20-'假设'!D27),0)</x:f>
        <x:v>0</x:v>
      </x:c>
      <x:c r="Y162" s="8" t="n">
        <x:f>IF(21&gt;'假设'!D27,INDEX($E161:$AB161,1,21-'假设'!D27),0)</x:f>
        <x:v>0</x:v>
      </x:c>
      <x:c r="Z162" s="8" t="n">
        <x:f>IF(22&gt;'假设'!D27,INDEX($E161:$AB161,1,22-'假设'!D27),0)</x:f>
        <x:v>0</x:v>
      </x:c>
      <x:c r="AA162" s="8" t="n">
        <x:f>IF(23&gt;'假设'!D27,INDEX($E161:$AB161,1,23-'假设'!D27),0)</x:f>
        <x:v>0</x:v>
      </x:c>
      <x:c r="AB162" s="8" t="n">
        <x:f>IF(24&gt;'假设'!D27,INDEX($E161:$AB161,1,24-'假设'!D27),0)</x:f>
        <x:v>0</x:v>
      </x:c>
    </x:row>
    <x:row r="163" ht="23" customHeight="1">
      <x:c r="A163" s="1"/>
      <x:c r="B163" s="1"/>
      <x:c r="C163" s="1" t="str">
        <x:v>E06</x:v>
      </x:c>
      <x:c r="D163" s="1" t="str">
        <x:v>直接损益成本</x:v>
      </x:c>
      <x:c r="E163" s="8" t="n">
        <x:f>IF(1='合同排期'!I23,'合同排期'!N23,0)+IF(AND(1&gt;='合同排期'!J23,1&lt;'合同排期'!J23+12),'合同排期'!O23,0)+E159*'假设'!D47</x:f>
        <x:v>0</x:v>
      </x:c>
      <x:c r="F163" s="8" t="n">
        <x:f>IF(2='合同排期'!I23,'合同排期'!N23,0)+IF(AND(2&gt;='合同排期'!J23,2&lt;'合同排期'!J23+12),'合同排期'!O23,0)+F159*'假设'!D47</x:f>
        <x:v>0</x:v>
      </x:c>
      <x:c r="G163" s="8" t="n">
        <x:f>IF(3='合同排期'!I23,'合同排期'!N23,0)+IF(AND(3&gt;='合同排期'!J23,3&lt;'合同排期'!J23+12),'合同排期'!O23,0)+G159*'假设'!D47</x:f>
        <x:v>0</x:v>
      </x:c>
      <x:c r="H163" s="8" t="n">
        <x:f>IF(4='合同排期'!I23,'合同排期'!N23,0)+IF(AND(4&gt;='合同排期'!J23,4&lt;'合同排期'!J23+12),'合同排期'!O23,0)+H159*'假设'!D47</x:f>
        <x:v>0</x:v>
      </x:c>
      <x:c r="I163" s="8" t="n">
        <x:f>IF(5='合同排期'!I23,'合同排期'!N23,0)+IF(AND(5&gt;='合同排期'!J23,5&lt;'合同排期'!J23+12),'合同排期'!O23,0)+I159*'假设'!D47</x:f>
        <x:v>0</x:v>
      </x:c>
      <x:c r="J163" s="8" t="n">
        <x:f>IF(6='合同排期'!I23,'合同排期'!N23,0)+IF(AND(6&gt;='合同排期'!J23,6&lt;'合同排期'!J23+12),'合同排期'!O23,0)+J159*'假设'!D47</x:f>
        <x:v>0</x:v>
      </x:c>
      <x:c r="K163" s="8" t="n">
        <x:f>IF(7='合同排期'!I23,'合同排期'!N23,0)+IF(AND(7&gt;='合同排期'!J23,7&lt;'合同排期'!J23+12),'合同排期'!O23,0)+K159*'假设'!D47</x:f>
        <x:v>0</x:v>
      </x:c>
      <x:c r="L163" s="8" t="n">
        <x:f>IF(8='合同排期'!I23,'合同排期'!N23,0)+IF(AND(8&gt;='合同排期'!J23,8&lt;'合同排期'!J23+12),'合同排期'!O23,0)+L159*'假设'!D47</x:f>
        <x:v>0</x:v>
      </x:c>
      <x:c r="M163" s="8" t="n">
        <x:f>IF(9='合同排期'!I23,'合同排期'!N23,0)+IF(AND(9&gt;='合同排期'!J23,9&lt;'合同排期'!J23+12),'合同排期'!O23,0)+M159*'假设'!D47</x:f>
        <x:v>0</x:v>
      </x:c>
      <x:c r="N163" s="8" t="n">
        <x:f>IF(10='合同排期'!I23,'合同排期'!N23,0)+IF(AND(10&gt;='合同排期'!J23,10&lt;'合同排期'!J23+12),'合同排期'!O23,0)+N159*'假设'!D47</x:f>
        <x:v>0</x:v>
      </x:c>
      <x:c r="O163" s="8" t="n">
        <x:f>IF(11='合同排期'!I23,'合同排期'!N23,0)+IF(AND(11&gt;='合同排期'!J23,11&lt;'合同排期'!J23+12),'合同排期'!O23,0)+O159*'假设'!D47</x:f>
        <x:v>0</x:v>
      </x:c>
      <x:c r="P163" s="8" t="n">
        <x:f>IF(12='合同排期'!I23,'合同排期'!N23,0)+IF(AND(12&gt;='合同排期'!J23,12&lt;'合同排期'!J23+12),'合同排期'!O23,0)+P159*'假设'!D47</x:f>
        <x:v>0</x:v>
      </x:c>
      <x:c r="Q163" s="8" t="n">
        <x:f>IF(13='合同排期'!I23,'合同排期'!N23,0)+IF(AND(13&gt;='合同排期'!J23,13&lt;'合同排期'!J23+12),'合同排期'!O23,0)+Q159*'假设'!D47</x:f>
        <x:v>0</x:v>
      </x:c>
      <x:c r="R163" s="8" t="n">
        <x:f>IF(14='合同排期'!I23,'合同排期'!N23,0)+IF(AND(14&gt;='合同排期'!J23,14&lt;'合同排期'!J23+12),'合同排期'!O23,0)+R159*'假设'!D47</x:f>
        <x:v>0</x:v>
      </x:c>
      <x:c r="S163" s="8" t="n">
        <x:f>IF(15='合同排期'!I23,'合同排期'!N23,0)+IF(AND(15&gt;='合同排期'!J23,15&lt;'合同排期'!J23+12),'合同排期'!O23,0)+S159*'假设'!D47</x:f>
        <x:v>0</x:v>
      </x:c>
      <x:c r="T163" s="8" t="n">
        <x:f>IF(16='合同排期'!I23,'合同排期'!N23,0)+IF(AND(16&gt;='合同排期'!J23,16&lt;'合同排期'!J23+12),'合同排期'!O23,0)+T159*'假设'!D47</x:f>
        <x:v>0</x:v>
      </x:c>
      <x:c r="U163" s="8" t="n">
        <x:f>IF(17='合同排期'!I23,'合同排期'!N23,0)+IF(AND(17&gt;='合同排期'!J23,17&lt;'合同排期'!J23+12),'合同排期'!O23,0)+U159*'假设'!D47</x:f>
        <x:v>0</x:v>
      </x:c>
      <x:c r="V163" s="8" t="n">
        <x:f>IF(18='合同排期'!I23,'合同排期'!N23,0)+IF(AND(18&gt;='合同排期'!J23,18&lt;'合同排期'!J23+12),'合同排期'!O23,0)+V159*'假设'!D47</x:f>
        <x:v>0</x:v>
      </x:c>
      <x:c r="W163" s="8" t="n">
        <x:f>IF(19='合同排期'!I23,'合同排期'!N23,0)+IF(AND(19&gt;='合同排期'!J23,19&lt;'合同排期'!J23+12),'合同排期'!O23,0)+W159*'假设'!D47</x:f>
        <x:v>0</x:v>
      </x:c>
      <x:c r="X163" s="8" t="n">
        <x:f>IF(20='合同排期'!I23,'合同排期'!N23,0)+IF(AND(20&gt;='合同排期'!J23,20&lt;'合同排期'!J23+12),'合同排期'!O23,0)+X159*'假设'!D47</x:f>
        <x:v>0</x:v>
      </x:c>
      <x:c r="Y163" s="8" t="n">
        <x:f>IF(21='合同排期'!I23,'合同排期'!N23,0)+IF(AND(21&gt;='合同排期'!J23,21&lt;'合同排期'!J23+12),'合同排期'!O23,0)+Y159*'假设'!D47</x:f>
        <x:v>0</x:v>
      </x:c>
      <x:c r="Z163" s="8" t="n">
        <x:f>IF(22='合同排期'!I23,'合同排期'!N23,0)+IF(AND(22&gt;='合同排期'!J23,22&lt;'合同排期'!J23+12),'合同排期'!O23,0)+Z159*'假设'!D47</x:f>
        <x:v>0</x:v>
      </x:c>
      <x:c r="AA163" s="8" t="n">
        <x:f>IF(23='合同排期'!I23,'合同排期'!N23,0)+IF(AND(23&gt;='合同排期'!J23,23&lt;'合同排期'!J23+12),'合同排期'!O23,0)+AA159*'假设'!D47</x:f>
        <x:v>0</x:v>
      </x:c>
      <x:c r="AB163" s="8" t="n">
        <x:f>IF(24='合同排期'!I23,'合同排期'!N23,0)+IF(AND(24&gt;='合同排期'!J23,24&lt;'合同排期'!J23+12),'合同排期'!O23,0)+AB159*'假设'!D47</x:f>
        <x:v>0</x:v>
      </x:c>
    </x:row>
    <x:row r="164" ht="23" customHeight="1">
      <x:c r="A164" s="1"/>
      <x:c r="B164" s="1"/>
      <x:c r="C164" s="1" t="str">
        <x:v>E06</x:v>
      </x:c>
      <x:c r="D164" s="1" t="str">
        <x:v>直接现金成本</x:v>
      </x:c>
      <x:c r="E164" s="8" t="n">
        <x:f>IF(AND(1&gt;='合同排期'!H23,1&lt;='合同排期'!I23),'合同排期'!N23/('合同排期'!I23-'合同排期'!H23+1),0)+IF(AND(1&gt;='合同排期'!J23,1&lt;'合同排期'!J23+12),'合同排期'!O23,0)+E162*'假设'!D47</x:f>
        <x:v>0</x:v>
      </x:c>
      <x:c r="F164" s="8" t="n">
        <x:f>IF(AND(2&gt;='合同排期'!H23,2&lt;='合同排期'!I23),'合同排期'!N23/('合同排期'!I23-'合同排期'!H23+1),0)+IF(AND(2&gt;='合同排期'!J23,2&lt;'合同排期'!J23+12),'合同排期'!O23,0)+F162*'假设'!D47</x:f>
        <x:v>0</x:v>
      </x:c>
      <x:c r="G164" s="8" t="n">
        <x:f>IF(AND(3&gt;='合同排期'!H23,3&lt;='合同排期'!I23),'合同排期'!N23/('合同排期'!I23-'合同排期'!H23+1),0)+IF(AND(3&gt;='合同排期'!J23,3&lt;'合同排期'!J23+12),'合同排期'!O23,0)+G162*'假设'!D47</x:f>
        <x:v>0</x:v>
      </x:c>
      <x:c r="H164" s="8" t="n">
        <x:f>IF(AND(4&gt;='合同排期'!H23,4&lt;='合同排期'!I23),'合同排期'!N23/('合同排期'!I23-'合同排期'!H23+1),0)+IF(AND(4&gt;='合同排期'!J23,4&lt;'合同排期'!J23+12),'合同排期'!O23,0)+H162*'假设'!D47</x:f>
        <x:v>0</x:v>
      </x:c>
      <x:c r="I164" s="8" t="n">
        <x:f>IF(AND(5&gt;='合同排期'!H23,5&lt;='合同排期'!I23),'合同排期'!N23/('合同排期'!I23-'合同排期'!H23+1),0)+IF(AND(5&gt;='合同排期'!J23,5&lt;'合同排期'!J23+12),'合同排期'!O23,0)+I162*'假设'!D47</x:f>
        <x:v>0</x:v>
      </x:c>
      <x:c r="J164" s="8" t="n">
        <x:f>IF(AND(6&gt;='合同排期'!H23,6&lt;='合同排期'!I23),'合同排期'!N23/('合同排期'!I23-'合同排期'!H23+1),0)+IF(AND(6&gt;='合同排期'!J23,6&lt;'合同排期'!J23+12),'合同排期'!O23,0)+J162*'假设'!D47</x:f>
        <x:v>0</x:v>
      </x:c>
      <x:c r="K164" s="8" t="n">
        <x:f>IF(AND(7&gt;='合同排期'!H23,7&lt;='合同排期'!I23),'合同排期'!N23/('合同排期'!I23-'合同排期'!H23+1),0)+IF(AND(7&gt;='合同排期'!J23,7&lt;'合同排期'!J23+12),'合同排期'!O23,0)+K162*'假设'!D47</x:f>
        <x:v>0</x:v>
      </x:c>
      <x:c r="L164" s="8" t="n">
        <x:f>IF(AND(8&gt;='合同排期'!H23,8&lt;='合同排期'!I23),'合同排期'!N23/('合同排期'!I23-'合同排期'!H23+1),0)+IF(AND(8&gt;='合同排期'!J23,8&lt;'合同排期'!J23+12),'合同排期'!O23,0)+L162*'假设'!D47</x:f>
        <x:v>0</x:v>
      </x:c>
      <x:c r="M164" s="8" t="n">
        <x:f>IF(AND(9&gt;='合同排期'!H23,9&lt;='合同排期'!I23),'合同排期'!N23/('合同排期'!I23-'合同排期'!H23+1),0)+IF(AND(9&gt;='合同排期'!J23,9&lt;'合同排期'!J23+12),'合同排期'!O23,0)+M162*'假设'!D47</x:f>
        <x:v>0</x:v>
      </x:c>
      <x:c r="N164" s="8" t="n">
        <x:f>IF(AND(10&gt;='合同排期'!H23,10&lt;='合同排期'!I23),'合同排期'!N23/('合同排期'!I23-'合同排期'!H23+1),0)+IF(AND(10&gt;='合同排期'!J23,10&lt;'合同排期'!J23+12),'合同排期'!O23,0)+N162*'假设'!D47</x:f>
        <x:v>0</x:v>
      </x:c>
      <x:c r="O164" s="8" t="n">
        <x:f>IF(AND(11&gt;='合同排期'!H23,11&lt;='合同排期'!I23),'合同排期'!N23/('合同排期'!I23-'合同排期'!H23+1),0)+IF(AND(11&gt;='合同排期'!J23,11&lt;'合同排期'!J23+12),'合同排期'!O23,0)+O162*'假设'!D47</x:f>
        <x:v>0</x:v>
      </x:c>
      <x:c r="P164" s="8" t="n">
        <x:f>IF(AND(12&gt;='合同排期'!H23,12&lt;='合同排期'!I23),'合同排期'!N23/('合同排期'!I23-'合同排期'!H23+1),0)+IF(AND(12&gt;='合同排期'!J23,12&lt;'合同排期'!J23+12),'合同排期'!O23,0)+P162*'假设'!D47</x:f>
        <x:v>0</x:v>
      </x:c>
      <x:c r="Q164" s="8" t="n">
        <x:f>IF(AND(13&gt;='合同排期'!H23,13&lt;='合同排期'!I23),'合同排期'!N23/('合同排期'!I23-'合同排期'!H23+1),0)+IF(AND(13&gt;='合同排期'!J23,13&lt;'合同排期'!J23+12),'合同排期'!O23,0)+Q162*'假设'!D47</x:f>
        <x:v>0</x:v>
      </x:c>
      <x:c r="R164" s="8" t="n">
        <x:f>IF(AND(14&gt;='合同排期'!H23,14&lt;='合同排期'!I23),'合同排期'!N23/('合同排期'!I23-'合同排期'!H23+1),0)+IF(AND(14&gt;='合同排期'!J23,14&lt;'合同排期'!J23+12),'合同排期'!O23,0)+R162*'假设'!D47</x:f>
        <x:v>0</x:v>
      </x:c>
      <x:c r="S164" s="8" t="n">
        <x:f>IF(AND(15&gt;='合同排期'!H23,15&lt;='合同排期'!I23),'合同排期'!N23/('合同排期'!I23-'合同排期'!H23+1),0)+IF(AND(15&gt;='合同排期'!J23,15&lt;'合同排期'!J23+12),'合同排期'!O23,0)+S162*'假设'!D47</x:f>
        <x:v>0</x:v>
      </x:c>
      <x:c r="T164" s="8" t="n">
        <x:f>IF(AND(16&gt;='合同排期'!H23,16&lt;='合同排期'!I23),'合同排期'!N23/('合同排期'!I23-'合同排期'!H23+1),0)+IF(AND(16&gt;='合同排期'!J23,16&lt;'合同排期'!J23+12),'合同排期'!O23,0)+T162*'假设'!D47</x:f>
        <x:v>0</x:v>
      </x:c>
      <x:c r="U164" s="8" t="n">
        <x:f>IF(AND(17&gt;='合同排期'!H23,17&lt;='合同排期'!I23),'合同排期'!N23/('合同排期'!I23-'合同排期'!H23+1),0)+IF(AND(17&gt;='合同排期'!J23,17&lt;'合同排期'!J23+12),'合同排期'!O23,0)+U162*'假设'!D47</x:f>
        <x:v>0</x:v>
      </x:c>
      <x:c r="V164" s="8" t="n">
        <x:f>IF(AND(18&gt;='合同排期'!H23,18&lt;='合同排期'!I23),'合同排期'!N23/('合同排期'!I23-'合同排期'!H23+1),0)+IF(AND(18&gt;='合同排期'!J23,18&lt;'合同排期'!J23+12),'合同排期'!O23,0)+V162*'假设'!D47</x:f>
        <x:v>0</x:v>
      </x:c>
      <x:c r="W164" s="8" t="n">
        <x:f>IF(AND(19&gt;='合同排期'!H23,19&lt;='合同排期'!I23),'合同排期'!N23/('合同排期'!I23-'合同排期'!H23+1),0)+IF(AND(19&gt;='合同排期'!J23,19&lt;'合同排期'!J23+12),'合同排期'!O23,0)+W162*'假设'!D47</x:f>
        <x:v>0</x:v>
      </x:c>
      <x:c r="X164" s="8" t="n">
        <x:f>IF(AND(20&gt;='合同排期'!H23,20&lt;='合同排期'!I23),'合同排期'!N23/('合同排期'!I23-'合同排期'!H23+1),0)+IF(AND(20&gt;='合同排期'!J23,20&lt;'合同排期'!J23+12),'合同排期'!O23,0)+X162*'假设'!D47</x:f>
        <x:v>0</x:v>
      </x:c>
      <x:c r="Y164" s="8" t="n">
        <x:f>IF(AND(21&gt;='合同排期'!H23,21&lt;='合同排期'!I23),'合同排期'!N23/('合同排期'!I23-'合同排期'!H23+1),0)+IF(AND(21&gt;='合同排期'!J23,21&lt;'合同排期'!J23+12),'合同排期'!O23,0)+Y162*'假设'!D47</x:f>
        <x:v>0</x:v>
      </x:c>
      <x:c r="Z164" s="8" t="n">
        <x:f>IF(AND(22&gt;='合同排期'!H23,22&lt;='合同排期'!I23),'合同排期'!N23/('合同排期'!I23-'合同排期'!H23+1),0)+IF(AND(22&gt;='合同排期'!J23,22&lt;'合同排期'!J23+12),'合同排期'!O23,0)+Z162*'假设'!D47</x:f>
        <x:v>0</x:v>
      </x:c>
      <x:c r="AA164" s="8" t="n">
        <x:f>IF(AND(23&gt;='合同排期'!H23,23&lt;='合同排期'!I23),'合同排期'!N23/('合同排期'!I23-'合同排期'!H23+1),0)+IF(AND(23&gt;='合同排期'!J23,23&lt;'合同排期'!J23+12),'合同排期'!O23,0)+AA162*'假设'!D47</x:f>
        <x:v>0</x:v>
      </x:c>
      <x:c r="AB164" s="8" t="n">
        <x:f>IF(AND(24&gt;='合同排期'!H23,24&lt;='合同排期'!I23),'合同排期'!N23/('合同排期'!I23-'合同排期'!H23+1),0)+IF(AND(24&gt;='合同排期'!J23,24&lt;'合同排期'!J23+12),'合同排期'!O23,0)+AB162*'假设'!D47</x:f>
        <x:v>0</x:v>
      </x:c>
    </x:row>
    <x:row r="165" ht="23" customHeight="1">
      <x:c r="A165" s="1"/>
      <x:c r="B165" s="1"/>
      <x:c r="C165" s="1" t="str">
        <x:v>E06</x:v>
      </x:c>
      <x:c r="D165" s="1" t="str">
        <x:v>工程交付人月</x:v>
      </x:c>
      <x:c r="E165" s="8" t="n">
        <x:f>IF(AND(1&gt;='合同排期'!H23,1&lt;='合同排期'!I23),'合同排期'!M23/('合同排期'!I23-'合同排期'!H23+1),0)</x:f>
        <x:v>0</x:v>
      </x:c>
      <x:c r="F165" s="8" t="n">
        <x:f>IF(AND(2&gt;='合同排期'!H23,2&lt;='合同排期'!I23),'合同排期'!M23/('合同排期'!I23-'合同排期'!H23+1),0)</x:f>
        <x:v>0</x:v>
      </x:c>
      <x:c r="G165" s="8" t="n">
        <x:f>IF(AND(3&gt;='合同排期'!H23,3&lt;='合同排期'!I23),'合同排期'!M23/('合同排期'!I23-'合同排期'!H23+1),0)</x:f>
        <x:v>0</x:v>
      </x:c>
      <x:c r="H165" s="8" t="n">
        <x:f>IF(AND(4&gt;='合同排期'!H23,4&lt;='合同排期'!I23),'合同排期'!M23/('合同排期'!I23-'合同排期'!H23+1),0)</x:f>
        <x:v>0</x:v>
      </x:c>
      <x:c r="I165" s="8" t="n">
        <x:f>IF(AND(5&gt;='合同排期'!H23,5&lt;='合同排期'!I23),'合同排期'!M23/('合同排期'!I23-'合同排期'!H23+1),0)</x:f>
        <x:v>0</x:v>
      </x:c>
      <x:c r="J165" s="8" t="n">
        <x:f>IF(AND(6&gt;='合同排期'!H23,6&lt;='合同排期'!I23),'合同排期'!M23/('合同排期'!I23-'合同排期'!H23+1),0)</x:f>
        <x:v>0</x:v>
      </x:c>
      <x:c r="K165" s="8" t="n">
        <x:f>IF(AND(7&gt;='合同排期'!H23,7&lt;='合同排期'!I23),'合同排期'!M23/('合同排期'!I23-'合同排期'!H23+1),0)</x:f>
        <x:v>0</x:v>
      </x:c>
      <x:c r="L165" s="8" t="n">
        <x:f>IF(AND(8&gt;='合同排期'!H23,8&lt;='合同排期'!I23),'合同排期'!M23/('合同排期'!I23-'合同排期'!H23+1),0)</x:f>
        <x:v>0</x:v>
      </x:c>
      <x:c r="M165" s="8" t="n">
        <x:f>IF(AND(9&gt;='合同排期'!H23,9&lt;='合同排期'!I23),'合同排期'!M23/('合同排期'!I23-'合同排期'!H23+1),0)</x:f>
        <x:v>0</x:v>
      </x:c>
      <x:c r="N165" s="8" t="n">
        <x:f>IF(AND(10&gt;='合同排期'!H23,10&lt;='合同排期'!I23),'合同排期'!M23/('合同排期'!I23-'合同排期'!H23+1),0)</x:f>
        <x:v>0</x:v>
      </x:c>
      <x:c r="O165" s="8" t="n">
        <x:f>IF(AND(11&gt;='合同排期'!H23,11&lt;='合同排期'!I23),'合同排期'!M23/('合同排期'!I23-'合同排期'!H23+1),0)</x:f>
        <x:v>0</x:v>
      </x:c>
      <x:c r="P165" s="8" t="n">
        <x:f>IF(AND(12&gt;='合同排期'!H23,12&lt;='合同排期'!I23),'合同排期'!M23/('合同排期'!I23-'合同排期'!H23+1),0)</x:f>
        <x:v>0</x:v>
      </x:c>
      <x:c r="Q165" s="8" t="n">
        <x:f>IF(AND(13&gt;='合同排期'!H23,13&lt;='合同排期'!I23),'合同排期'!M23/('合同排期'!I23-'合同排期'!H23+1),0)</x:f>
        <x:v>0</x:v>
      </x:c>
      <x:c r="R165" s="8" t="n">
        <x:f>IF(AND(14&gt;='合同排期'!H23,14&lt;='合同排期'!I23),'合同排期'!M23/('合同排期'!I23-'合同排期'!H23+1),0)</x:f>
        <x:v>0</x:v>
      </x:c>
      <x:c r="S165" s="8" t="n">
        <x:f>IF(AND(15&gt;='合同排期'!H23,15&lt;='合同排期'!I23),'合同排期'!M23/('合同排期'!I23-'合同排期'!H23+1),0)</x:f>
        <x:v>0</x:v>
      </x:c>
      <x:c r="T165" s="8" t="n">
        <x:f>IF(AND(16&gt;='合同排期'!H23,16&lt;='合同排期'!I23),'合同排期'!M23/('合同排期'!I23-'合同排期'!H23+1),0)</x:f>
        <x:v>0</x:v>
      </x:c>
      <x:c r="U165" s="8" t="n">
        <x:f>IF(AND(17&gt;='合同排期'!H23,17&lt;='合同排期'!I23),'合同排期'!M23/('合同排期'!I23-'合同排期'!H23+1),0)</x:f>
        <x:v>0</x:v>
      </x:c>
      <x:c r="V165" s="8" t="n">
        <x:f>IF(AND(18&gt;='合同排期'!H23,18&lt;='合同排期'!I23),'合同排期'!M23/('合同排期'!I23-'合同排期'!H23+1),0)</x:f>
        <x:v>0</x:v>
      </x:c>
      <x:c r="W165" s="8" t="n">
        <x:f>IF(AND(19&gt;='合同排期'!H23,19&lt;='合同排期'!I23),'合同排期'!M23/('合同排期'!I23-'合同排期'!H23+1),0)</x:f>
        <x:v>0</x:v>
      </x:c>
      <x:c r="X165" s="8" t="n">
        <x:f>IF(AND(20&gt;='合同排期'!H23,20&lt;='合同排期'!I23),'合同排期'!M23/('合同排期'!I23-'合同排期'!H23+1),0)</x:f>
        <x:v>0</x:v>
      </x:c>
      <x:c r="Y165" s="8" t="n">
        <x:f>IF(AND(21&gt;='合同排期'!H23,21&lt;='合同排期'!I23),'合同排期'!M23/('合同排期'!I23-'合同排期'!H23+1),0)</x:f>
        <x:v>0</x:v>
      </x:c>
      <x:c r="Z165" s="8" t="n">
        <x:f>IF(AND(22&gt;='合同排期'!H23,22&lt;='合同排期'!I23),'合同排期'!M23/('合同排期'!I23-'合同排期'!H23+1),0)</x:f>
        <x:v>0</x:v>
      </x:c>
      <x:c r="AA165" s="8" t="n">
        <x:f>IF(AND(23&gt;='合同排期'!H23,23&lt;='合同排期'!I23),'合同排期'!M23/('合同排期'!I23-'合同排期'!H23+1),0)</x:f>
        <x:v>0</x:v>
      </x:c>
      <x:c r="AB165" s="8" t="n">
        <x:f>IF(AND(24&gt;='合同排期'!H23,24&lt;='合同排期'!I23),'合同排期'!M23/('合同排期'!I23-'合同排期'!H23+1),0)</x:f>
        <x:v>0</x:v>
      </x:c>
    </x:row>
    <x:row r="166" ht="23" customHeight="1">
      <x:c r="A166" s="1"/>
      <x:c r="B166" s="1"/>
      <x:c r="C166" s="1" t="str">
        <x:v>E06</x:v>
      </x:c>
      <x:c r="D166" s="1" t="str">
        <x:v>生效ARR</x:v>
      </x:c>
      <x:c r="E166" s="8" t="n">
        <x:f>IF(AND(1&gt;='合同排期'!J23,1&lt;'合同排期'!J23+12),'合同排期'!L23,0)</x:f>
        <x:v>0</x:v>
      </x:c>
      <x:c r="F166" s="8" t="n">
        <x:f>IF(AND(2&gt;='合同排期'!J23,2&lt;'合同排期'!J23+12),'合同排期'!L23,0)</x:f>
        <x:v>0</x:v>
      </x:c>
      <x:c r="G166" s="8" t="n">
        <x:f>IF(AND(3&gt;='合同排期'!J23,3&lt;'合同排期'!J23+12),'合同排期'!L23,0)</x:f>
        <x:v>0</x:v>
      </x:c>
      <x:c r="H166" s="8" t="n">
        <x:f>IF(AND(4&gt;='合同排期'!J23,4&lt;'合同排期'!J23+12),'合同排期'!L23,0)</x:f>
        <x:v>0</x:v>
      </x:c>
      <x:c r="I166" s="8" t="n">
        <x:f>IF(AND(5&gt;='合同排期'!J23,5&lt;'合同排期'!J23+12),'合同排期'!L23,0)</x:f>
        <x:v>0</x:v>
      </x:c>
      <x:c r="J166" s="8" t="n">
        <x:f>IF(AND(6&gt;='合同排期'!J23,6&lt;'合同排期'!J23+12),'合同排期'!L23,0)</x:f>
        <x:v>0</x:v>
      </x:c>
      <x:c r="K166" s="8" t="n">
        <x:f>IF(AND(7&gt;='合同排期'!J23,7&lt;'合同排期'!J23+12),'合同排期'!L23,0)</x:f>
        <x:v>0</x:v>
      </x:c>
      <x:c r="L166" s="8" t="n">
        <x:f>IF(AND(8&gt;='合同排期'!J23,8&lt;'合同排期'!J23+12),'合同排期'!L23,0)</x:f>
        <x:v>0</x:v>
      </x:c>
      <x:c r="M166" s="8" t="n">
        <x:f>IF(AND(9&gt;='合同排期'!J23,9&lt;'合同排期'!J23+12),'合同排期'!L23,0)</x:f>
        <x:v>0</x:v>
      </x:c>
      <x:c r="N166" s="8" t="n">
        <x:f>IF(AND(10&gt;='合同排期'!J23,10&lt;'合同排期'!J23+12),'合同排期'!L23,0)</x:f>
        <x:v>0</x:v>
      </x:c>
      <x:c r="O166" s="8" t="n">
        <x:f>IF(AND(11&gt;='合同排期'!J23,11&lt;'合同排期'!J23+12),'合同排期'!L23,0)</x:f>
        <x:v>0</x:v>
      </x:c>
      <x:c r="P166" s="8" t="n">
        <x:f>IF(AND(12&gt;='合同排期'!J23,12&lt;'合同排期'!J23+12),'合同排期'!L23,0)</x:f>
        <x:v>0</x:v>
      </x:c>
      <x:c r="Q166" s="8" t="n">
        <x:f>IF(AND(13&gt;='合同排期'!J23,13&lt;'合同排期'!J23+12),'合同排期'!L23,0)</x:f>
        <x:v>0</x:v>
      </x:c>
      <x:c r="R166" s="8" t="n">
        <x:f>IF(AND(14&gt;='合同排期'!J23,14&lt;'合同排期'!J23+12),'合同排期'!L23,0)</x:f>
        <x:v>0</x:v>
      </x:c>
      <x:c r="S166" s="8" t="n">
        <x:f>IF(AND(15&gt;='合同排期'!J23,15&lt;'合同排期'!J23+12),'合同排期'!L23,0)</x:f>
        <x:v>0</x:v>
      </x:c>
      <x:c r="T166" s="8" t="n">
        <x:f>IF(AND(16&gt;='合同排期'!J23,16&lt;'合同排期'!J23+12),'合同排期'!L23,0)</x:f>
        <x:v>0</x:v>
      </x:c>
      <x:c r="U166" s="8" t="n">
        <x:f>IF(AND(17&gt;='合同排期'!J23,17&lt;'合同排期'!J23+12),'合同排期'!L23,0)</x:f>
        <x:v>0</x:v>
      </x:c>
      <x:c r="V166" s="8" t="n">
        <x:f>IF(AND(18&gt;='合同排期'!J23,18&lt;'合同排期'!J23+12),'合同排期'!L23,0)</x:f>
        <x:v>0</x:v>
      </x:c>
      <x:c r="W166" s="8" t="n">
        <x:f>IF(AND(19&gt;='合同排期'!J23,19&lt;'合同排期'!J23+12),'合同排期'!L23,0)</x:f>
        <x:v>0</x:v>
      </x:c>
      <x:c r="X166" s="8" t="n">
        <x:f>IF(AND(20&gt;='合同排期'!J23,20&lt;'合同排期'!J23+12),'合同排期'!L23,0)</x:f>
        <x:v>0</x:v>
      </x:c>
      <x:c r="Y166" s="8" t="n">
        <x:f>IF(AND(21&gt;='合同排期'!J23,21&lt;'合同排期'!J23+12),'合同排期'!L23,0)</x:f>
        <x:v>0</x:v>
      </x:c>
      <x:c r="Z166" s="8" t="n">
        <x:f>IF(AND(22&gt;='合同排期'!J23,22&lt;'合同排期'!J23+12),'合同排期'!L23,0)</x:f>
        <x:v>0</x:v>
      </x:c>
      <x:c r="AA166" s="8" t="n">
        <x:f>IF(AND(23&gt;='合同排期'!J23,23&lt;'合同排期'!J23+12),'合同排期'!L23,0)</x:f>
        <x:v>0</x:v>
      </x:c>
      <x:c r="AB166" s="8" t="n">
        <x:f>IF(AND(24&gt;='合同排期'!J23,24&lt;'合同排期'!J23+12),'合同排期'!L23,0)</x:f>
        <x:v>0</x:v>
      </x:c>
    </x:row>
    <x:row r="167" ht="23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  <x:c r="AA167" s="1"/>
      <x:c r="AB167" s="1"/>
    </x:row>
    <x:row r="168" ht="23" customHeight="1">
      <x:c r="A168" s="1"/>
      <x:c r="B168" s="1"/>
      <x:c r="C168" s="1" t="str">
        <x:v>N01</x:v>
      </x:c>
      <x:c r="D168" s="1" t="str">
        <x:v>净签约</x:v>
      </x:c>
      <x:c r="E168" s="8" t="n">
        <x:f>IF(1='合同排期'!H24,'合同排期'!K24+'合同排期'!L24,0)</x:f>
        <x:v>0</x:v>
      </x:c>
      <x:c r="F168" s="8" t="n">
        <x:f>IF(2='合同排期'!H24,'合同排期'!K24+'合同排期'!L24,0)</x:f>
        <x:v>0</x:v>
      </x:c>
      <x:c r="G168" s="8" t="n">
        <x:f>IF(3='合同排期'!H24,'合同排期'!K24+'合同排期'!L24,0)</x:f>
        <x:v>0</x:v>
      </x:c>
      <x:c r="H168" s="8" t="n">
        <x:f>IF(4='合同排期'!H24,'合同排期'!K24+'合同排期'!L24,0)</x:f>
        <x:v>0</x:v>
      </x:c>
      <x:c r="I168" s="8" t="n">
        <x:f>IF(5='合同排期'!H24,'合同排期'!K24+'合同排期'!L24,0)</x:f>
        <x:v>0</x:v>
      </x:c>
      <x:c r="J168" s="8" t="n">
        <x:f>IF(6='合同排期'!H24,'合同排期'!K24+'合同排期'!L24,0)</x:f>
        <x:v>144</x:v>
      </x:c>
      <x:c r="K168" s="8" t="n">
        <x:f>IF(7='合同排期'!H24,'合同排期'!K24+'合同排期'!L24,0)</x:f>
        <x:v>0</x:v>
      </x:c>
      <x:c r="L168" s="8" t="n">
        <x:f>IF(8='合同排期'!H24,'合同排期'!K24+'合同排期'!L24,0)</x:f>
        <x:v>0</x:v>
      </x:c>
      <x:c r="M168" s="8" t="n">
        <x:f>IF(9='合同排期'!H24,'合同排期'!K24+'合同排期'!L24,0)</x:f>
        <x:v>0</x:v>
      </x:c>
      <x:c r="N168" s="8" t="n">
        <x:f>IF(10='合同排期'!H24,'合同排期'!K24+'合同排期'!L24,0)</x:f>
        <x:v>0</x:v>
      </x:c>
      <x:c r="O168" s="8" t="n">
        <x:f>IF(11='合同排期'!H24,'合同排期'!K24+'合同排期'!L24,0)</x:f>
        <x:v>0</x:v>
      </x:c>
      <x:c r="P168" s="8" t="n">
        <x:f>IF(12='合同排期'!H24,'合同排期'!K24+'合同排期'!L24,0)</x:f>
        <x:v>0</x:v>
      </x:c>
      <x:c r="Q168" s="8" t="n">
        <x:f>IF(13='合同排期'!H24,'合同排期'!K24+'合同排期'!L24,0)</x:f>
        <x:v>0</x:v>
      </x:c>
      <x:c r="R168" s="8" t="n">
        <x:f>IF(14='合同排期'!H24,'合同排期'!K24+'合同排期'!L24,0)</x:f>
        <x:v>0</x:v>
      </x:c>
      <x:c r="S168" s="8" t="n">
        <x:f>IF(15='合同排期'!H24,'合同排期'!K24+'合同排期'!L24,0)</x:f>
        <x:v>0</x:v>
      </x:c>
      <x:c r="T168" s="8" t="n">
        <x:f>IF(16='合同排期'!H24,'合同排期'!K24+'合同排期'!L24,0)</x:f>
        <x:v>0</x:v>
      </x:c>
      <x:c r="U168" s="8" t="n">
        <x:f>IF(17='合同排期'!H24,'合同排期'!K24+'合同排期'!L24,0)</x:f>
        <x:v>0</x:v>
      </x:c>
      <x:c r="V168" s="8" t="n">
        <x:f>IF(18='合同排期'!H24,'合同排期'!K24+'合同排期'!L24,0)</x:f>
        <x:v>0</x:v>
      </x:c>
      <x:c r="W168" s="8" t="n">
        <x:f>IF(19='合同排期'!H24,'合同排期'!K24+'合同排期'!L24,0)</x:f>
        <x:v>0</x:v>
      </x:c>
      <x:c r="X168" s="8" t="n">
        <x:f>IF(20='合同排期'!H24,'合同排期'!K24+'合同排期'!L24,0)</x:f>
        <x:v>0</x:v>
      </x:c>
      <x:c r="Y168" s="8" t="n">
        <x:f>IF(21='合同排期'!H24,'合同排期'!K24+'合同排期'!L24,0)</x:f>
        <x:v>0</x:v>
      </x:c>
      <x:c r="Z168" s="8" t="n">
        <x:f>IF(22='合同排期'!H24,'合同排期'!K24+'合同排期'!L24,0)</x:f>
        <x:v>0</x:v>
      </x:c>
      <x:c r="AA168" s="8" t="n">
        <x:f>IF(23='合同排期'!H24,'合同排期'!K24+'合同排期'!L24,0)</x:f>
        <x:v>0</x:v>
      </x:c>
      <x:c r="AB168" s="8" t="n">
        <x:f>IF(24='合同排期'!H24,'合同排期'!K24+'合同排期'!L24,0)</x:f>
        <x:v>0</x:v>
      </x:c>
    </x:row>
    <x:row r="169" ht="23" customHeight="1">
      <x:c r="A169" s="1"/>
      <x:c r="B169" s="1"/>
      <x:c r="C169" s="1" t="str">
        <x:v>N01</x:v>
      </x:c>
      <x:c r="D169" s="1" t="str">
        <x:v>确认收入</x:v>
      </x:c>
      <x:c r="E169" s="8" t="n">
        <x:f>IF(1='合同排期'!I24,'合同排期'!K24,0)+IF(AND(1&gt;='合同排期'!J24,1&lt;'合同排期'!J24+12),'合同排期'!L24/12,0)</x:f>
        <x:v>0</x:v>
      </x:c>
      <x:c r="F169" s="8" t="n">
        <x:f>IF(2='合同排期'!I24,'合同排期'!K24,0)+IF(AND(2&gt;='合同排期'!J24,2&lt;'合同排期'!J24+12),'合同排期'!L24/12,0)</x:f>
        <x:v>0</x:v>
      </x:c>
      <x:c r="G169" s="8" t="n">
        <x:f>IF(3='合同排期'!I24,'合同排期'!K24,0)+IF(AND(3&gt;='合同排期'!J24,3&lt;'合同排期'!J24+12),'合同排期'!L24/12,0)</x:f>
        <x:v>0</x:v>
      </x:c>
      <x:c r="H169" s="8" t="n">
        <x:f>IF(4='合同排期'!I24,'合同排期'!K24,0)+IF(AND(4&gt;='合同排期'!J24,4&lt;'合同排期'!J24+12),'合同排期'!L24/12,0)</x:f>
        <x:v>0</x:v>
      </x:c>
      <x:c r="I169" s="8" t="n">
        <x:f>IF(5='合同排期'!I24,'合同排期'!K24,0)+IF(AND(5&gt;='合同排期'!J24,5&lt;'合同排期'!J24+12),'合同排期'!L24/12,0)</x:f>
        <x:v>0</x:v>
      </x:c>
      <x:c r="J169" s="8" t="n">
        <x:f>IF(6='合同排期'!I24,'合同排期'!K24,0)+IF(AND(6&gt;='合同排期'!J24,6&lt;'合同排期'!J24+12),'合同排期'!L24/12,0)</x:f>
        <x:v>0</x:v>
      </x:c>
      <x:c r="K169" s="8" t="n">
        <x:f>IF(7='合同排期'!I24,'合同排期'!K24,0)+IF(AND(7&gt;='合同排期'!J24,7&lt;'合同排期'!J24+12),'合同排期'!L24/12,0)</x:f>
        <x:v>0</x:v>
      </x:c>
      <x:c r="L169" s="8" t="n">
        <x:f>IF(8='合同排期'!I24,'合同排期'!K24,0)+IF(AND(8&gt;='合同排期'!J24,8&lt;'合同排期'!J24+12),'合同排期'!L24/12,0)</x:f>
        <x:v>0</x:v>
      </x:c>
      <x:c r="M169" s="8" t="n">
        <x:f>IF(9='合同排期'!I24,'合同排期'!K24,0)+IF(AND(9&gt;='合同排期'!J24,9&lt;'合同排期'!J24+12),'合同排期'!L24/12,0)</x:f>
        <x:v>0</x:v>
      </x:c>
      <x:c r="N169" s="8" t="n">
        <x:f>IF(10='合同排期'!I24,'合同排期'!K24,0)+IF(AND(10&gt;='合同排期'!J24,10&lt;'合同排期'!J24+12),'合同排期'!L24/12,0)</x:f>
        <x:v>0</x:v>
      </x:c>
      <x:c r="O169" s="8" t="n">
        <x:f>IF(11='合同排期'!I24,'合同排期'!K24,0)+IF(AND(11&gt;='合同排期'!J24,11&lt;'合同排期'!J24+12),'合同排期'!L24/12,0)</x:f>
        <x:v>0</x:v>
      </x:c>
      <x:c r="P169" s="8" t="n">
        <x:f>IF(12='合同排期'!I24,'合同排期'!K24,0)+IF(AND(12&gt;='合同排期'!J24,12&lt;'合同排期'!J24+12),'合同排期'!L24/12,0)</x:f>
        <x:v>120</x:v>
      </x:c>
      <x:c r="Q169" s="8" t="n">
        <x:f>IF(13='合同排期'!I24,'合同排期'!K24,0)+IF(AND(13&gt;='合同排期'!J24,13&lt;'合同排期'!J24+12),'合同排期'!L24/12,0)</x:f>
        <x:v>2</x:v>
      </x:c>
      <x:c r="R169" s="8" t="n">
        <x:f>IF(14='合同排期'!I24,'合同排期'!K24,0)+IF(AND(14&gt;='合同排期'!J24,14&lt;'合同排期'!J24+12),'合同排期'!L24/12,0)</x:f>
        <x:v>2</x:v>
      </x:c>
      <x:c r="S169" s="8" t="n">
        <x:f>IF(15='合同排期'!I24,'合同排期'!K24,0)+IF(AND(15&gt;='合同排期'!J24,15&lt;'合同排期'!J24+12),'合同排期'!L24/12,0)</x:f>
        <x:v>2</x:v>
      </x:c>
      <x:c r="T169" s="8" t="n">
        <x:f>IF(16='合同排期'!I24,'合同排期'!K24,0)+IF(AND(16&gt;='合同排期'!J24,16&lt;'合同排期'!J24+12),'合同排期'!L24/12,0)</x:f>
        <x:v>2</x:v>
      </x:c>
      <x:c r="U169" s="8" t="n">
        <x:f>IF(17='合同排期'!I24,'合同排期'!K24,0)+IF(AND(17&gt;='合同排期'!J24,17&lt;'合同排期'!J24+12),'合同排期'!L24/12,0)</x:f>
        <x:v>2</x:v>
      </x:c>
      <x:c r="V169" s="8" t="n">
        <x:f>IF(18='合同排期'!I24,'合同排期'!K24,0)+IF(AND(18&gt;='合同排期'!J24,18&lt;'合同排期'!J24+12),'合同排期'!L24/12,0)</x:f>
        <x:v>2</x:v>
      </x:c>
      <x:c r="W169" s="8" t="n">
        <x:f>IF(19='合同排期'!I24,'合同排期'!K24,0)+IF(AND(19&gt;='合同排期'!J24,19&lt;'合同排期'!J24+12),'合同排期'!L24/12,0)</x:f>
        <x:v>2</x:v>
      </x:c>
      <x:c r="X169" s="8" t="n">
        <x:f>IF(20='合同排期'!I24,'合同排期'!K24,0)+IF(AND(20&gt;='合同排期'!J24,20&lt;'合同排期'!J24+12),'合同排期'!L24/12,0)</x:f>
        <x:v>2</x:v>
      </x:c>
      <x:c r="Y169" s="8" t="n">
        <x:f>IF(21='合同排期'!I24,'合同排期'!K24,0)+IF(AND(21&gt;='合同排期'!J24,21&lt;'合同排期'!J24+12),'合同排期'!L24/12,0)</x:f>
        <x:v>2</x:v>
      </x:c>
      <x:c r="Z169" s="8" t="n">
        <x:f>IF(22='合同排期'!I24,'合同排期'!K24,0)+IF(AND(22&gt;='合同排期'!J24,22&lt;'合同排期'!J24+12),'合同排期'!L24/12,0)</x:f>
        <x:v>2</x:v>
      </x:c>
      <x:c r="AA169" s="8" t="n">
        <x:f>IF(23='合同排期'!I24,'合同排期'!K24,0)+IF(AND(23&gt;='合同排期'!J24,23&lt;'合同排期'!J24+12),'合同排期'!L24/12,0)</x:f>
        <x:v>2</x:v>
      </x:c>
      <x:c r="AB169" s="8" t="n">
        <x:f>IF(24='合同排期'!I24,'合同排期'!K24,0)+IF(AND(24&gt;='合同排期'!J24,24&lt;'合同排期'!J24+12),'合同排期'!L24/12,0)</x:f>
        <x:v>2</x:v>
      </x:c>
    </x:row>
    <x:row r="170" ht="23" customHeight="1">
      <x:c r="A170" s="1"/>
      <x:c r="B170" s="1"/>
      <x:c r="C170" s="1" t="str">
        <x:v>N01</x:v>
      </x:c>
      <x:c r="D170" s="1" t="str">
        <x:v>开票</x:v>
      </x:c>
      <x:c r="E170" s="8" t="n">
        <x:f>IF(1='合同排期'!H24,'合同排期'!K24*'合同排期'!P24,0)+IF(1='合同排期'!S24,'合同排期'!K24*'合同排期'!Q24,0)+IF(1='合同排期'!I24,'合同排期'!K24*'合同排期'!R24,0)+IF(1='合同排期'!J24,'合同排期'!L24,0)</x:f>
        <x:v>0</x:v>
      </x:c>
      <x:c r="F170" s="8" t="n">
        <x:f>IF(2='合同排期'!H24,'合同排期'!K24*'合同排期'!P24,0)+IF(2='合同排期'!S24,'合同排期'!K24*'合同排期'!Q24,0)+IF(2='合同排期'!I24,'合同排期'!K24*'合同排期'!R24,0)+IF(2='合同排期'!J24,'合同排期'!L24,0)</x:f>
        <x:v>0</x:v>
      </x:c>
      <x:c r="G170" s="8" t="n">
        <x:f>IF(3='合同排期'!H24,'合同排期'!K24*'合同排期'!P24,0)+IF(3='合同排期'!S24,'合同排期'!K24*'合同排期'!Q24,0)+IF(3='合同排期'!I24,'合同排期'!K24*'合同排期'!R24,0)+IF(3='合同排期'!J24,'合同排期'!L24,0)</x:f>
        <x:v>0</x:v>
      </x:c>
      <x:c r="H170" s="8" t="n">
        <x:f>IF(4='合同排期'!H24,'合同排期'!K24*'合同排期'!P24,0)+IF(4='合同排期'!S24,'合同排期'!K24*'合同排期'!Q24,0)+IF(4='合同排期'!I24,'合同排期'!K24*'合同排期'!R24,0)+IF(4='合同排期'!J24,'合同排期'!L24,0)</x:f>
        <x:v>0</x:v>
      </x:c>
      <x:c r="I170" s="8" t="n">
        <x:f>IF(5='合同排期'!H24,'合同排期'!K24*'合同排期'!P24,0)+IF(5='合同排期'!S24,'合同排期'!K24*'合同排期'!Q24,0)+IF(5='合同排期'!I24,'合同排期'!K24*'合同排期'!R24,0)+IF(5='合同排期'!J24,'合同排期'!L24,0)</x:f>
        <x:v>0</x:v>
      </x:c>
      <x:c r="J170" s="8" t="n">
        <x:f>IF(6='合同排期'!H24,'合同排期'!K24*'合同排期'!P24,0)+IF(6='合同排期'!S24,'合同排期'!K24*'合同排期'!Q24,0)+IF(6='合同排期'!I24,'合同排期'!K24*'合同排期'!R24,0)+IF(6='合同排期'!J24,'合同排期'!L24,0)</x:f>
        <x:v>36</x:v>
      </x:c>
      <x:c r="K170" s="8" t="n">
        <x:f>IF(7='合同排期'!H24,'合同排期'!K24*'合同排期'!P24,0)+IF(7='合同排期'!S24,'合同排期'!K24*'合同排期'!Q24,0)+IF(7='合同排期'!I24,'合同排期'!K24*'合同排期'!R24,0)+IF(7='合同排期'!J24,'合同排期'!L24,0)</x:f>
        <x:v>0</x:v>
      </x:c>
      <x:c r="L170" s="8" t="n">
        <x:f>IF(8='合同排期'!H24,'合同排期'!K24*'合同排期'!P24,0)+IF(8='合同排期'!S24,'合同排期'!K24*'合同排期'!Q24,0)+IF(8='合同排期'!I24,'合同排期'!K24*'合同排期'!R24,0)+IF(8='合同排期'!J24,'合同排期'!L24,0)</x:f>
        <x:v>0</x:v>
      </x:c>
      <x:c r="M170" s="8" t="n">
        <x:f>IF(9='合同排期'!H24,'合同排期'!K24*'合同排期'!P24,0)+IF(9='合同排期'!S24,'合同排期'!K24*'合同排期'!Q24,0)+IF(9='合同排期'!I24,'合同排期'!K24*'合同排期'!R24,0)+IF(9='合同排期'!J24,'合同排期'!L24,0)</x:f>
        <x:v>48</x:v>
      </x:c>
      <x:c r="N170" s="8" t="n">
        <x:f>IF(10='合同排期'!H24,'合同排期'!K24*'合同排期'!P24,0)+IF(10='合同排期'!S24,'合同排期'!K24*'合同排期'!Q24,0)+IF(10='合同排期'!I24,'合同排期'!K24*'合同排期'!R24,0)+IF(10='合同排期'!J24,'合同排期'!L24,0)</x:f>
        <x:v>0</x:v>
      </x:c>
      <x:c r="O170" s="8" t="n">
        <x:f>IF(11='合同排期'!H24,'合同排期'!K24*'合同排期'!P24,0)+IF(11='合同排期'!S24,'合同排期'!K24*'合同排期'!Q24,0)+IF(11='合同排期'!I24,'合同排期'!K24*'合同排期'!R24,0)+IF(11='合同排期'!J24,'合同排期'!L24,0)</x:f>
        <x:v>0</x:v>
      </x:c>
      <x:c r="P170" s="8" t="n">
        <x:f>IF(12='合同排期'!H24,'合同排期'!K24*'合同排期'!P24,0)+IF(12='合同排期'!S24,'合同排期'!K24*'合同排期'!Q24,0)+IF(12='合同排期'!I24,'合同排期'!K24*'合同排期'!R24,0)+IF(12='合同排期'!J24,'合同排期'!L24,0)</x:f>
        <x:v>36</x:v>
      </x:c>
      <x:c r="Q170" s="8" t="n">
        <x:f>IF(13='合同排期'!H24,'合同排期'!K24*'合同排期'!P24,0)+IF(13='合同排期'!S24,'合同排期'!K24*'合同排期'!Q24,0)+IF(13='合同排期'!I24,'合同排期'!K24*'合同排期'!R24,0)+IF(13='合同排期'!J24,'合同排期'!L24,0)</x:f>
        <x:v>24</x:v>
      </x:c>
      <x:c r="R170" s="8" t="n">
        <x:f>IF(14='合同排期'!H24,'合同排期'!K24*'合同排期'!P24,0)+IF(14='合同排期'!S24,'合同排期'!K24*'合同排期'!Q24,0)+IF(14='合同排期'!I24,'合同排期'!K24*'合同排期'!R24,0)+IF(14='合同排期'!J24,'合同排期'!L24,0)</x:f>
        <x:v>0</x:v>
      </x:c>
      <x:c r="S170" s="8" t="n">
        <x:f>IF(15='合同排期'!H24,'合同排期'!K24*'合同排期'!P24,0)+IF(15='合同排期'!S24,'合同排期'!K24*'合同排期'!Q24,0)+IF(15='合同排期'!I24,'合同排期'!K24*'合同排期'!R24,0)+IF(15='合同排期'!J24,'合同排期'!L24,0)</x:f>
        <x:v>0</x:v>
      </x:c>
      <x:c r="T170" s="8" t="n">
        <x:f>IF(16='合同排期'!H24,'合同排期'!K24*'合同排期'!P24,0)+IF(16='合同排期'!S24,'合同排期'!K24*'合同排期'!Q24,0)+IF(16='合同排期'!I24,'合同排期'!K24*'合同排期'!R24,0)+IF(16='合同排期'!J24,'合同排期'!L24,0)</x:f>
        <x:v>0</x:v>
      </x:c>
      <x:c r="U170" s="8" t="n">
        <x:f>IF(17='合同排期'!H24,'合同排期'!K24*'合同排期'!P24,0)+IF(17='合同排期'!S24,'合同排期'!K24*'合同排期'!Q24,0)+IF(17='合同排期'!I24,'合同排期'!K24*'合同排期'!R24,0)+IF(17='合同排期'!J24,'合同排期'!L24,0)</x:f>
        <x:v>0</x:v>
      </x:c>
      <x:c r="V170" s="8" t="n">
        <x:f>IF(18='合同排期'!H24,'合同排期'!K24*'合同排期'!P24,0)+IF(18='合同排期'!S24,'合同排期'!K24*'合同排期'!Q24,0)+IF(18='合同排期'!I24,'合同排期'!K24*'合同排期'!R24,0)+IF(18='合同排期'!J24,'合同排期'!L24,0)</x:f>
        <x:v>0</x:v>
      </x:c>
      <x:c r="W170" s="8" t="n">
        <x:f>IF(19='合同排期'!H24,'合同排期'!K24*'合同排期'!P24,0)+IF(19='合同排期'!S24,'合同排期'!K24*'合同排期'!Q24,0)+IF(19='合同排期'!I24,'合同排期'!K24*'合同排期'!R24,0)+IF(19='合同排期'!J24,'合同排期'!L24,0)</x:f>
        <x:v>0</x:v>
      </x:c>
      <x:c r="X170" s="8" t="n">
        <x:f>IF(20='合同排期'!H24,'合同排期'!K24*'合同排期'!P24,0)+IF(20='合同排期'!S24,'合同排期'!K24*'合同排期'!Q24,0)+IF(20='合同排期'!I24,'合同排期'!K24*'合同排期'!R24,0)+IF(20='合同排期'!J24,'合同排期'!L24,0)</x:f>
        <x:v>0</x:v>
      </x:c>
      <x:c r="Y170" s="8" t="n">
        <x:f>IF(21='合同排期'!H24,'合同排期'!K24*'合同排期'!P24,0)+IF(21='合同排期'!S24,'合同排期'!K24*'合同排期'!Q24,0)+IF(21='合同排期'!I24,'合同排期'!K24*'合同排期'!R24,0)+IF(21='合同排期'!J24,'合同排期'!L24,0)</x:f>
        <x:v>0</x:v>
      </x:c>
      <x:c r="Z170" s="8" t="n">
        <x:f>IF(22='合同排期'!H24,'合同排期'!K24*'合同排期'!P24,0)+IF(22='合同排期'!S24,'合同排期'!K24*'合同排期'!Q24,0)+IF(22='合同排期'!I24,'合同排期'!K24*'合同排期'!R24,0)+IF(22='合同排期'!J24,'合同排期'!L24,0)</x:f>
        <x:v>0</x:v>
      </x:c>
      <x:c r="AA170" s="8" t="n">
        <x:f>IF(23='合同排期'!H24,'合同排期'!K24*'合同排期'!P24,0)+IF(23='合同排期'!S24,'合同排期'!K24*'合同排期'!Q24,0)+IF(23='合同排期'!I24,'合同排期'!K24*'合同排期'!R24,0)+IF(23='合同排期'!J24,'合同排期'!L24,0)</x:f>
        <x:v>0</x:v>
      </x:c>
      <x:c r="AB170" s="8" t="n">
        <x:f>IF(24='合同排期'!H24,'合同排期'!K24*'合同排期'!P24,0)+IF(24='合同排期'!S24,'合同排期'!K24*'合同排期'!Q24,0)+IF(24='合同排期'!I24,'合同排期'!K24*'合同排期'!R24,0)+IF(24='合同排期'!J24,'合同排期'!L24,0)</x:f>
        <x:v>0</x:v>
      </x:c>
    </x:row>
    <x:row r="171" ht="23" customHeight="1">
      <x:c r="A171" s="1"/>
      <x:c r="B171" s="1"/>
      <x:c r="C171" s="1" t="str">
        <x:v>N01</x:v>
      </x:c>
      <x:c r="D171" s="1" t="str">
        <x:v>回款</x:v>
      </x:c>
      <x:c r="E171" s="8" t="n">
        <x:f>IF(1&gt;'假设'!D27,INDEX($E170:$AB170,1,1-'假设'!D27),0)</x:f>
        <x:v>0</x:v>
      </x:c>
      <x:c r="F171" s="8" t="n">
        <x:f>IF(2&gt;'假设'!D27,INDEX($E170:$AB170,1,2-'假设'!D27),0)</x:f>
        <x:v>0</x:v>
      </x:c>
      <x:c r="G171" s="8" t="n">
        <x:f>IF(3&gt;'假设'!D27,INDEX($E170:$AB170,1,3-'假设'!D27),0)</x:f>
        <x:v>0</x:v>
      </x:c>
      <x:c r="H171" s="8" t="n">
        <x:f>IF(4&gt;'假设'!D27,INDEX($E170:$AB170,1,4-'假设'!D27),0)</x:f>
        <x:v>0</x:v>
      </x:c>
      <x:c r="I171" s="8" t="n">
        <x:f>IF(5&gt;'假设'!D27,INDEX($E170:$AB170,1,5-'假设'!D27),0)</x:f>
        <x:v>0</x:v>
      </x:c>
      <x:c r="J171" s="8" t="n">
        <x:f>IF(6&gt;'假设'!D27,INDEX($E170:$AB170,1,6-'假设'!D27),0)</x:f>
        <x:v>0</x:v>
      </x:c>
      <x:c r="K171" s="8" t="n">
        <x:f>IF(7&gt;'假设'!D27,INDEX($E170:$AB170,1,7-'假设'!D27),0)</x:f>
        <x:v>36</x:v>
      </x:c>
      <x:c r="L171" s="8" t="n">
        <x:f>IF(8&gt;'假设'!D27,INDEX($E170:$AB170,1,8-'假设'!D27),0)</x:f>
        <x:v>0</x:v>
      </x:c>
      <x:c r="M171" s="8" t="n">
        <x:f>IF(9&gt;'假设'!D27,INDEX($E170:$AB170,1,9-'假设'!D27),0)</x:f>
        <x:v>0</x:v>
      </x:c>
      <x:c r="N171" s="8" t="n">
        <x:f>IF(10&gt;'假设'!D27,INDEX($E170:$AB170,1,10-'假设'!D27),0)</x:f>
        <x:v>48</x:v>
      </x:c>
      <x:c r="O171" s="8" t="n">
        <x:f>IF(11&gt;'假设'!D27,INDEX($E170:$AB170,1,11-'假设'!D27),0)</x:f>
        <x:v>0</x:v>
      </x:c>
      <x:c r="P171" s="8" t="n">
        <x:f>IF(12&gt;'假设'!D27,INDEX($E170:$AB170,1,12-'假设'!D27),0)</x:f>
        <x:v>0</x:v>
      </x:c>
      <x:c r="Q171" s="8" t="n">
        <x:f>IF(13&gt;'假设'!D27,INDEX($E170:$AB170,1,13-'假设'!D27),0)</x:f>
        <x:v>36</x:v>
      </x:c>
      <x:c r="R171" s="8" t="n">
        <x:f>IF(14&gt;'假设'!D27,INDEX($E170:$AB170,1,14-'假设'!D27),0)</x:f>
        <x:v>24</x:v>
      </x:c>
      <x:c r="S171" s="8" t="n">
        <x:f>IF(15&gt;'假设'!D27,INDEX($E170:$AB170,1,15-'假设'!D27),0)</x:f>
        <x:v>0</x:v>
      </x:c>
      <x:c r="T171" s="8" t="n">
        <x:f>IF(16&gt;'假设'!D27,INDEX($E170:$AB170,1,16-'假设'!D27),0)</x:f>
        <x:v>0</x:v>
      </x:c>
      <x:c r="U171" s="8" t="n">
        <x:f>IF(17&gt;'假设'!D27,INDEX($E170:$AB170,1,17-'假设'!D27),0)</x:f>
        <x:v>0</x:v>
      </x:c>
      <x:c r="V171" s="8" t="n">
        <x:f>IF(18&gt;'假设'!D27,INDEX($E170:$AB170,1,18-'假设'!D27),0)</x:f>
        <x:v>0</x:v>
      </x:c>
      <x:c r="W171" s="8" t="n">
        <x:f>IF(19&gt;'假设'!D27,INDEX($E170:$AB170,1,19-'假设'!D27),0)</x:f>
        <x:v>0</x:v>
      </x:c>
      <x:c r="X171" s="8" t="n">
        <x:f>IF(20&gt;'假设'!D27,INDEX($E170:$AB170,1,20-'假设'!D27),0)</x:f>
        <x:v>0</x:v>
      </x:c>
      <x:c r="Y171" s="8" t="n">
        <x:f>IF(21&gt;'假设'!D27,INDEX($E170:$AB170,1,21-'假设'!D27),0)</x:f>
        <x:v>0</x:v>
      </x:c>
      <x:c r="Z171" s="8" t="n">
        <x:f>IF(22&gt;'假设'!D27,INDEX($E170:$AB170,1,22-'假设'!D27),0)</x:f>
        <x:v>0</x:v>
      </x:c>
      <x:c r="AA171" s="8" t="n">
        <x:f>IF(23&gt;'假设'!D27,INDEX($E170:$AB170,1,23-'假设'!D27),0)</x:f>
        <x:v>0</x:v>
      </x:c>
      <x:c r="AB171" s="8" t="n">
        <x:f>IF(24&gt;'假设'!D27,INDEX($E170:$AB170,1,24-'假设'!D27),0)</x:f>
        <x:v>0</x:v>
      </x:c>
    </x:row>
    <x:row r="172" ht="23" customHeight="1">
      <x:c r="A172" s="1"/>
      <x:c r="B172" s="1"/>
      <x:c r="C172" s="1" t="str">
        <x:v>N01</x:v>
      </x:c>
      <x:c r="D172" s="1" t="str">
        <x:v>直接损益成本</x:v>
      </x:c>
      <x:c r="E172" s="8" t="n">
        <x:f>IF(1='合同排期'!I24,'合同排期'!N24,0)+IF(AND(1&gt;='合同排期'!J24,1&lt;'合同排期'!J24+12),'合同排期'!O24,0)+E168*'假设'!D47</x:f>
        <x:v>0</x:v>
      </x:c>
      <x:c r="F172" s="8" t="n">
        <x:f>IF(2='合同排期'!I24,'合同排期'!N24,0)+IF(AND(2&gt;='合同排期'!J24,2&lt;'合同排期'!J24+12),'合同排期'!O24,0)+F168*'假设'!D47</x:f>
        <x:v>0</x:v>
      </x:c>
      <x:c r="G172" s="8" t="n">
        <x:f>IF(3='合同排期'!I24,'合同排期'!N24,0)+IF(AND(3&gt;='合同排期'!J24,3&lt;'合同排期'!J24+12),'合同排期'!O24,0)+G168*'假设'!D47</x:f>
        <x:v>0</x:v>
      </x:c>
      <x:c r="H172" s="8" t="n">
        <x:f>IF(4='合同排期'!I24,'合同排期'!N24,0)+IF(AND(4&gt;='合同排期'!J24,4&lt;'合同排期'!J24+12),'合同排期'!O24,0)+H168*'假设'!D47</x:f>
        <x:v>0</x:v>
      </x:c>
      <x:c r="I172" s="8" t="n">
        <x:f>IF(5='合同排期'!I24,'合同排期'!N24,0)+IF(AND(5&gt;='合同排期'!J24,5&lt;'合同排期'!J24+12),'合同排期'!O24,0)+I168*'假设'!D47</x:f>
        <x:v>0</x:v>
      </x:c>
      <x:c r="J172" s="8" t="n">
        <x:f>IF(6='合同排期'!I24,'合同排期'!N24,0)+IF(AND(6&gt;='合同排期'!J24,6&lt;'合同排期'!J24+12),'合同排期'!O24,0)+J168*'假设'!D47</x:f>
        <x:v>7.2</x:v>
      </x:c>
      <x:c r="K172" s="8" t="n">
        <x:f>IF(7='合同排期'!I24,'合同排期'!N24,0)+IF(AND(7&gt;='合同排期'!J24,7&lt;'合同排期'!J24+12),'合同排期'!O24,0)+K168*'假设'!D47</x:f>
        <x:v>0</x:v>
      </x:c>
      <x:c r="L172" s="8" t="n">
        <x:f>IF(8='合同排期'!I24,'合同排期'!N24,0)+IF(AND(8&gt;='合同排期'!J24,8&lt;'合同排期'!J24+12),'合同排期'!O24,0)+L168*'假设'!D47</x:f>
        <x:v>0</x:v>
      </x:c>
      <x:c r="M172" s="8" t="n">
        <x:f>IF(9='合同排期'!I24,'合同排期'!N24,0)+IF(AND(9&gt;='合同排期'!J24,9&lt;'合同排期'!J24+12),'合同排期'!O24,0)+M168*'假设'!D47</x:f>
        <x:v>0</x:v>
      </x:c>
      <x:c r="N172" s="8" t="n">
        <x:f>IF(10='合同排期'!I24,'合同排期'!N24,0)+IF(AND(10&gt;='合同排期'!J24,10&lt;'合同排期'!J24+12),'合同排期'!O24,0)+N168*'假设'!D47</x:f>
        <x:v>0</x:v>
      </x:c>
      <x:c r="O172" s="8" t="n">
        <x:f>IF(11='合同排期'!I24,'合同排期'!N24,0)+IF(AND(11&gt;='合同排期'!J24,11&lt;'合同排期'!J24+12),'合同排期'!O24,0)+O168*'假设'!D47</x:f>
        <x:v>0</x:v>
      </x:c>
      <x:c r="P172" s="8" t="n">
        <x:f>IF(12='合同排期'!I24,'合同排期'!N24,0)+IF(AND(12&gt;='合同排期'!J24,12&lt;'合同排期'!J24+12),'合同排期'!O24,0)+P168*'假设'!D47</x:f>
        <x:v>59.6</x:v>
      </x:c>
      <x:c r="Q172" s="8" t="n">
        <x:f>IF(13='合同排期'!I24,'合同排期'!N24,0)+IF(AND(13&gt;='合同排期'!J24,13&lt;'合同排期'!J24+12),'合同排期'!O24,0)+Q168*'假设'!D47</x:f>
        <x:v>0.6</x:v>
      </x:c>
      <x:c r="R172" s="8" t="n">
        <x:f>IF(14='合同排期'!I24,'合同排期'!N24,0)+IF(AND(14&gt;='合同排期'!J24,14&lt;'合同排期'!J24+12),'合同排期'!O24,0)+R168*'假设'!D47</x:f>
        <x:v>0.6</x:v>
      </x:c>
      <x:c r="S172" s="8" t="n">
        <x:f>IF(15='合同排期'!I24,'合同排期'!N24,0)+IF(AND(15&gt;='合同排期'!J24,15&lt;'合同排期'!J24+12),'合同排期'!O24,0)+S168*'假设'!D47</x:f>
        <x:v>0.6</x:v>
      </x:c>
      <x:c r="T172" s="8" t="n">
        <x:f>IF(16='合同排期'!I24,'合同排期'!N24,0)+IF(AND(16&gt;='合同排期'!J24,16&lt;'合同排期'!J24+12),'合同排期'!O24,0)+T168*'假设'!D47</x:f>
        <x:v>0.6</x:v>
      </x:c>
      <x:c r="U172" s="8" t="n">
        <x:f>IF(17='合同排期'!I24,'合同排期'!N24,0)+IF(AND(17&gt;='合同排期'!J24,17&lt;'合同排期'!J24+12),'合同排期'!O24,0)+U168*'假设'!D47</x:f>
        <x:v>0.6</x:v>
      </x:c>
      <x:c r="V172" s="8" t="n">
        <x:f>IF(18='合同排期'!I24,'合同排期'!N24,0)+IF(AND(18&gt;='合同排期'!J24,18&lt;'合同排期'!J24+12),'合同排期'!O24,0)+V168*'假设'!D47</x:f>
        <x:v>0.6</x:v>
      </x:c>
      <x:c r="W172" s="8" t="n">
        <x:f>IF(19='合同排期'!I24,'合同排期'!N24,0)+IF(AND(19&gt;='合同排期'!J24,19&lt;'合同排期'!J24+12),'合同排期'!O24,0)+W168*'假设'!D47</x:f>
        <x:v>0.6</x:v>
      </x:c>
      <x:c r="X172" s="8" t="n">
        <x:f>IF(20='合同排期'!I24,'合同排期'!N24,0)+IF(AND(20&gt;='合同排期'!J24,20&lt;'合同排期'!J24+12),'合同排期'!O24,0)+X168*'假设'!D47</x:f>
        <x:v>0.6</x:v>
      </x:c>
      <x:c r="Y172" s="8" t="n">
        <x:f>IF(21='合同排期'!I24,'合同排期'!N24,0)+IF(AND(21&gt;='合同排期'!J24,21&lt;'合同排期'!J24+12),'合同排期'!O24,0)+Y168*'假设'!D47</x:f>
        <x:v>0.6</x:v>
      </x:c>
      <x:c r="Z172" s="8" t="n">
        <x:f>IF(22='合同排期'!I24,'合同排期'!N24,0)+IF(AND(22&gt;='合同排期'!J24,22&lt;'合同排期'!J24+12),'合同排期'!O24,0)+Z168*'假设'!D47</x:f>
        <x:v>0.6</x:v>
      </x:c>
      <x:c r="AA172" s="8" t="n">
        <x:f>IF(23='合同排期'!I24,'合同排期'!N24,0)+IF(AND(23&gt;='合同排期'!J24,23&lt;'合同排期'!J24+12),'合同排期'!O24,0)+AA168*'假设'!D47</x:f>
        <x:v>0.6</x:v>
      </x:c>
      <x:c r="AB172" s="8" t="n">
        <x:f>IF(24='合同排期'!I24,'合同排期'!N24,0)+IF(AND(24&gt;='合同排期'!J24,24&lt;'合同排期'!J24+12),'合同排期'!O24,0)+AB168*'假设'!D47</x:f>
        <x:v>0.6</x:v>
      </x:c>
    </x:row>
    <x:row r="173" ht="23" customHeight="1">
      <x:c r="A173" s="1"/>
      <x:c r="B173" s="1"/>
      <x:c r="C173" s="1" t="str">
        <x:v>N01</x:v>
      </x:c>
      <x:c r="D173" s="1" t="str">
        <x:v>直接现金成本</x:v>
      </x:c>
      <x:c r="E173" s="8" t="n">
        <x:f>IF(AND(1&gt;='合同排期'!H24,1&lt;='合同排期'!I24),'合同排期'!N24/('合同排期'!I24-'合同排期'!H24+1),0)+IF(AND(1&gt;='合同排期'!J24,1&lt;'合同排期'!J24+12),'合同排期'!O24,0)+E171*'假设'!D47</x:f>
        <x:v>0</x:v>
      </x:c>
      <x:c r="F173" s="8" t="n">
        <x:f>IF(AND(2&gt;='合同排期'!H24,2&lt;='合同排期'!I24),'合同排期'!N24/('合同排期'!I24-'合同排期'!H24+1),0)+IF(AND(2&gt;='合同排期'!J24,2&lt;'合同排期'!J24+12),'合同排期'!O24,0)+F171*'假设'!D47</x:f>
        <x:v>0</x:v>
      </x:c>
      <x:c r="G173" s="8" t="n">
        <x:f>IF(AND(3&gt;='合同排期'!H24,3&lt;='合同排期'!I24),'合同排期'!N24/('合同排期'!I24-'合同排期'!H24+1),0)+IF(AND(3&gt;='合同排期'!J24,3&lt;'合同排期'!J24+12),'合同排期'!O24,0)+G171*'假设'!D47</x:f>
        <x:v>0</x:v>
      </x:c>
      <x:c r="H173" s="8" t="n">
        <x:f>IF(AND(4&gt;='合同排期'!H24,4&lt;='合同排期'!I24),'合同排期'!N24/('合同排期'!I24-'合同排期'!H24+1),0)+IF(AND(4&gt;='合同排期'!J24,4&lt;'合同排期'!J24+12),'合同排期'!O24,0)+H171*'假设'!D47</x:f>
        <x:v>0</x:v>
      </x:c>
      <x:c r="I173" s="8" t="n">
        <x:f>IF(AND(5&gt;='合同排期'!H24,5&lt;='合同排期'!I24),'合同排期'!N24/('合同排期'!I24-'合同排期'!H24+1),0)+IF(AND(5&gt;='合同排期'!J24,5&lt;'合同排期'!J24+12),'合同排期'!O24,0)+I171*'假设'!D47</x:f>
        <x:v>0</x:v>
      </x:c>
      <x:c r="J173" s="8" t="n">
        <x:f>IF(AND(6&gt;='合同排期'!H24,6&lt;='合同排期'!I24),'合同排期'!N24/('合同排期'!I24-'合同排期'!H24+1),0)+IF(AND(6&gt;='合同排期'!J24,6&lt;'合同排期'!J24+12),'合同排期'!O24,0)+J171*'假设'!D47</x:f>
        <x:v>8.514285714285714</x:v>
      </x:c>
      <x:c r="K173" s="8" t="n">
        <x:f>IF(AND(7&gt;='合同排期'!H24,7&lt;='合同排期'!I24),'合同排期'!N24/('合同排期'!I24-'合同排期'!H24+1),0)+IF(AND(7&gt;='合同排期'!J24,7&lt;'合同排期'!J24+12),'合同排期'!O24,0)+K171*'假设'!D47</x:f>
        <x:v>10.314285714285715</x:v>
      </x:c>
      <x:c r="L173" s="8" t="n">
        <x:f>IF(AND(8&gt;='合同排期'!H24,8&lt;='合同排期'!I24),'合同排期'!N24/('合同排期'!I24-'合同排期'!H24+1),0)+IF(AND(8&gt;='合同排期'!J24,8&lt;'合同排期'!J24+12),'合同排期'!O24,0)+L171*'假设'!D47</x:f>
        <x:v>8.514285714285714</x:v>
      </x:c>
      <x:c r="M173" s="8" t="n">
        <x:f>IF(AND(9&gt;='合同排期'!H24,9&lt;='合同排期'!I24),'合同排期'!N24/('合同排期'!I24-'合同排期'!H24+1),0)+IF(AND(9&gt;='合同排期'!J24,9&lt;'合同排期'!J24+12),'合同排期'!O24,0)+M171*'假设'!D47</x:f>
        <x:v>8.514285714285714</x:v>
      </x:c>
      <x:c r="N173" s="8" t="n">
        <x:f>IF(AND(10&gt;='合同排期'!H24,10&lt;='合同排期'!I24),'合同排期'!N24/('合同排期'!I24-'合同排期'!H24+1),0)+IF(AND(10&gt;='合同排期'!J24,10&lt;'合同排期'!J24+12),'合同排期'!O24,0)+N171*'假设'!D47</x:f>
        <x:v>10.914285714285715</x:v>
      </x:c>
      <x:c r="O173" s="8" t="n">
        <x:f>IF(AND(11&gt;='合同排期'!H24,11&lt;='合同排期'!I24),'合同排期'!N24/('合同排期'!I24-'合同排期'!H24+1),0)+IF(AND(11&gt;='合同排期'!J24,11&lt;'合同排期'!J24+12),'合同排期'!O24,0)+O171*'假设'!D47</x:f>
        <x:v>8.514285714285714</x:v>
      </x:c>
      <x:c r="P173" s="8" t="n">
        <x:f>IF(AND(12&gt;='合同排期'!H24,12&lt;='合同排期'!I24),'合同排期'!N24/('合同排期'!I24-'合同排期'!H24+1),0)+IF(AND(12&gt;='合同排期'!J24,12&lt;'合同排期'!J24+12),'合同排期'!O24,0)+P171*'假设'!D47</x:f>
        <x:v>8.514285714285714</x:v>
      </x:c>
      <x:c r="Q173" s="8" t="n">
        <x:f>IF(AND(13&gt;='合同排期'!H24,13&lt;='合同排期'!I24),'合同排期'!N24/('合同排期'!I24-'合同排期'!H24+1),0)+IF(AND(13&gt;='合同排期'!J24,13&lt;'合同排期'!J24+12),'合同排期'!O24,0)+Q171*'假设'!D47</x:f>
        <x:v>2.4</x:v>
      </x:c>
      <x:c r="R173" s="8" t="n">
        <x:f>IF(AND(14&gt;='合同排期'!H24,14&lt;='合同排期'!I24),'合同排期'!N24/('合同排期'!I24-'合同排期'!H24+1),0)+IF(AND(14&gt;='合同排期'!J24,14&lt;'合同排期'!J24+12),'合同排期'!O24,0)+R171*'假设'!D47</x:f>
        <x:v>1.8000000000000003</x:v>
      </x:c>
      <x:c r="S173" s="8" t="n">
        <x:f>IF(AND(15&gt;='合同排期'!H24,15&lt;='合同排期'!I24),'合同排期'!N24/('合同排期'!I24-'合同排期'!H24+1),0)+IF(AND(15&gt;='合同排期'!J24,15&lt;'合同排期'!J24+12),'合同排期'!O24,0)+S171*'假设'!D47</x:f>
        <x:v>0.6</x:v>
      </x:c>
      <x:c r="T173" s="8" t="n">
        <x:f>IF(AND(16&gt;='合同排期'!H24,16&lt;='合同排期'!I24),'合同排期'!N24/('合同排期'!I24-'合同排期'!H24+1),0)+IF(AND(16&gt;='合同排期'!J24,16&lt;'合同排期'!J24+12),'合同排期'!O24,0)+T171*'假设'!D47</x:f>
        <x:v>0.6</x:v>
      </x:c>
      <x:c r="U173" s="8" t="n">
        <x:f>IF(AND(17&gt;='合同排期'!H24,17&lt;='合同排期'!I24),'合同排期'!N24/('合同排期'!I24-'合同排期'!H24+1),0)+IF(AND(17&gt;='合同排期'!J24,17&lt;'合同排期'!J24+12),'合同排期'!O24,0)+U171*'假设'!D47</x:f>
        <x:v>0.6</x:v>
      </x:c>
      <x:c r="V173" s="8" t="n">
        <x:f>IF(AND(18&gt;='合同排期'!H24,18&lt;='合同排期'!I24),'合同排期'!N24/('合同排期'!I24-'合同排期'!H24+1),0)+IF(AND(18&gt;='合同排期'!J24,18&lt;'合同排期'!J24+12),'合同排期'!O24,0)+V171*'假设'!D47</x:f>
        <x:v>0.6</x:v>
      </x:c>
      <x:c r="W173" s="8" t="n">
        <x:f>IF(AND(19&gt;='合同排期'!H24,19&lt;='合同排期'!I24),'合同排期'!N24/('合同排期'!I24-'合同排期'!H24+1),0)+IF(AND(19&gt;='合同排期'!J24,19&lt;'合同排期'!J24+12),'合同排期'!O24,0)+W171*'假设'!D47</x:f>
        <x:v>0.6</x:v>
      </x:c>
      <x:c r="X173" s="8" t="n">
        <x:f>IF(AND(20&gt;='合同排期'!H24,20&lt;='合同排期'!I24),'合同排期'!N24/('合同排期'!I24-'合同排期'!H24+1),0)+IF(AND(20&gt;='合同排期'!J24,20&lt;'合同排期'!J24+12),'合同排期'!O24,0)+X171*'假设'!D47</x:f>
        <x:v>0.6</x:v>
      </x:c>
      <x:c r="Y173" s="8" t="n">
        <x:f>IF(AND(21&gt;='合同排期'!H24,21&lt;='合同排期'!I24),'合同排期'!N24/('合同排期'!I24-'合同排期'!H24+1),0)+IF(AND(21&gt;='合同排期'!J24,21&lt;'合同排期'!J24+12),'合同排期'!O24,0)+Y171*'假设'!D47</x:f>
        <x:v>0.6</x:v>
      </x:c>
      <x:c r="Z173" s="8" t="n">
        <x:f>IF(AND(22&gt;='合同排期'!H24,22&lt;='合同排期'!I24),'合同排期'!N24/('合同排期'!I24-'合同排期'!H24+1),0)+IF(AND(22&gt;='合同排期'!J24,22&lt;'合同排期'!J24+12),'合同排期'!O24,0)+Z171*'假设'!D47</x:f>
        <x:v>0.6</x:v>
      </x:c>
      <x:c r="AA173" s="8" t="n">
        <x:f>IF(AND(23&gt;='合同排期'!H24,23&lt;='合同排期'!I24),'合同排期'!N24/('合同排期'!I24-'合同排期'!H24+1),0)+IF(AND(23&gt;='合同排期'!J24,23&lt;'合同排期'!J24+12),'合同排期'!O24,0)+AA171*'假设'!D47</x:f>
        <x:v>0.6</x:v>
      </x:c>
      <x:c r="AB173" s="8" t="n">
        <x:f>IF(AND(24&gt;='合同排期'!H24,24&lt;='合同排期'!I24),'合同排期'!N24/('合同排期'!I24-'合同排期'!H24+1),0)+IF(AND(24&gt;='合同排期'!J24,24&lt;'合同排期'!J24+12),'合同排期'!O24,0)+AB171*'假设'!D47</x:f>
        <x:v>0.6</x:v>
      </x:c>
    </x:row>
    <x:row r="174" ht="23" customHeight="1">
      <x:c r="A174" s="1"/>
      <x:c r="B174" s="1"/>
      <x:c r="C174" s="1" t="str">
        <x:v>N01</x:v>
      </x:c>
      <x:c r="D174" s="1" t="str">
        <x:v>工程交付人月</x:v>
      </x:c>
      <x:c r="E174" s="8" t="n">
        <x:f>IF(AND(1&gt;='合同排期'!H24,1&lt;='合同排期'!I24),'合同排期'!M24/('合同排期'!I24-'合同排期'!H24+1),0)</x:f>
        <x:v>0</x:v>
      </x:c>
      <x:c r="F174" s="8" t="n">
        <x:f>IF(AND(2&gt;='合同排期'!H24,2&lt;='合同排期'!I24),'合同排期'!M24/('合同排期'!I24-'合同排期'!H24+1),0)</x:f>
        <x:v>0</x:v>
      </x:c>
      <x:c r="G174" s="8" t="n">
        <x:f>IF(AND(3&gt;='合同排期'!H24,3&lt;='合同排期'!I24),'合同排期'!M24/('合同排期'!I24-'合同排期'!H24+1),0)</x:f>
        <x:v>0</x:v>
      </x:c>
      <x:c r="H174" s="8" t="n">
        <x:f>IF(AND(4&gt;='合同排期'!H24,4&lt;='合同排期'!I24),'合同排期'!M24/('合同排期'!I24-'合同排期'!H24+1),0)</x:f>
        <x:v>0</x:v>
      </x:c>
      <x:c r="I174" s="8" t="n">
        <x:f>IF(AND(5&gt;='合同排期'!H24,5&lt;='合同排期'!I24),'合同排期'!M24/('合同排期'!I24-'合同排期'!H24+1),0)</x:f>
        <x:v>0</x:v>
      </x:c>
      <x:c r="J174" s="8" t="n">
        <x:f>IF(AND(6&gt;='合同排期'!H24,6&lt;='合同排期'!I24),'合同排期'!M24/('合同排期'!I24-'合同排期'!H24+1),0)</x:f>
        <x:v>6</x:v>
      </x:c>
      <x:c r="K174" s="8" t="n">
        <x:f>IF(AND(7&gt;='合同排期'!H24,7&lt;='合同排期'!I24),'合同排期'!M24/('合同排期'!I24-'合同排期'!H24+1),0)</x:f>
        <x:v>6</x:v>
      </x:c>
      <x:c r="L174" s="8" t="n">
        <x:f>IF(AND(8&gt;='合同排期'!H24,8&lt;='合同排期'!I24),'合同排期'!M24/('合同排期'!I24-'合同排期'!H24+1),0)</x:f>
        <x:v>6</x:v>
      </x:c>
      <x:c r="M174" s="8" t="n">
        <x:f>IF(AND(9&gt;='合同排期'!H24,9&lt;='合同排期'!I24),'合同排期'!M24/('合同排期'!I24-'合同排期'!H24+1),0)</x:f>
        <x:v>6</x:v>
      </x:c>
      <x:c r="N174" s="8" t="n">
        <x:f>IF(AND(10&gt;='合同排期'!H24,10&lt;='合同排期'!I24),'合同排期'!M24/('合同排期'!I24-'合同排期'!H24+1),0)</x:f>
        <x:v>6</x:v>
      </x:c>
      <x:c r="O174" s="8" t="n">
        <x:f>IF(AND(11&gt;='合同排期'!H24,11&lt;='合同排期'!I24),'合同排期'!M24/('合同排期'!I24-'合同排期'!H24+1),0)</x:f>
        <x:v>6</x:v>
      </x:c>
      <x:c r="P174" s="8" t="n">
        <x:f>IF(AND(12&gt;='合同排期'!H24,12&lt;='合同排期'!I24),'合同排期'!M24/('合同排期'!I24-'合同排期'!H24+1),0)</x:f>
        <x:v>6</x:v>
      </x:c>
      <x:c r="Q174" s="8" t="n">
        <x:f>IF(AND(13&gt;='合同排期'!H24,13&lt;='合同排期'!I24),'合同排期'!M24/('合同排期'!I24-'合同排期'!H24+1),0)</x:f>
        <x:v>0</x:v>
      </x:c>
      <x:c r="R174" s="8" t="n">
        <x:f>IF(AND(14&gt;='合同排期'!H24,14&lt;='合同排期'!I24),'合同排期'!M24/('合同排期'!I24-'合同排期'!H24+1),0)</x:f>
        <x:v>0</x:v>
      </x:c>
      <x:c r="S174" s="8" t="n">
        <x:f>IF(AND(15&gt;='合同排期'!H24,15&lt;='合同排期'!I24),'合同排期'!M24/('合同排期'!I24-'合同排期'!H24+1),0)</x:f>
        <x:v>0</x:v>
      </x:c>
      <x:c r="T174" s="8" t="n">
        <x:f>IF(AND(16&gt;='合同排期'!H24,16&lt;='合同排期'!I24),'合同排期'!M24/('合同排期'!I24-'合同排期'!H24+1),0)</x:f>
        <x:v>0</x:v>
      </x:c>
      <x:c r="U174" s="8" t="n">
        <x:f>IF(AND(17&gt;='合同排期'!H24,17&lt;='合同排期'!I24),'合同排期'!M24/('合同排期'!I24-'合同排期'!H24+1),0)</x:f>
        <x:v>0</x:v>
      </x:c>
      <x:c r="V174" s="8" t="n">
        <x:f>IF(AND(18&gt;='合同排期'!H24,18&lt;='合同排期'!I24),'合同排期'!M24/('合同排期'!I24-'合同排期'!H24+1),0)</x:f>
        <x:v>0</x:v>
      </x:c>
      <x:c r="W174" s="8" t="n">
        <x:f>IF(AND(19&gt;='合同排期'!H24,19&lt;='合同排期'!I24),'合同排期'!M24/('合同排期'!I24-'合同排期'!H24+1),0)</x:f>
        <x:v>0</x:v>
      </x:c>
      <x:c r="X174" s="8" t="n">
        <x:f>IF(AND(20&gt;='合同排期'!H24,20&lt;='合同排期'!I24),'合同排期'!M24/('合同排期'!I24-'合同排期'!H24+1),0)</x:f>
        <x:v>0</x:v>
      </x:c>
      <x:c r="Y174" s="8" t="n">
        <x:f>IF(AND(21&gt;='合同排期'!H24,21&lt;='合同排期'!I24),'合同排期'!M24/('合同排期'!I24-'合同排期'!H24+1),0)</x:f>
        <x:v>0</x:v>
      </x:c>
      <x:c r="Z174" s="8" t="n">
        <x:f>IF(AND(22&gt;='合同排期'!H24,22&lt;='合同排期'!I24),'合同排期'!M24/('合同排期'!I24-'合同排期'!H24+1),0)</x:f>
        <x:v>0</x:v>
      </x:c>
      <x:c r="AA174" s="8" t="n">
        <x:f>IF(AND(23&gt;='合同排期'!H24,23&lt;='合同排期'!I24),'合同排期'!M24/('合同排期'!I24-'合同排期'!H24+1),0)</x:f>
        <x:v>0</x:v>
      </x:c>
      <x:c r="AB174" s="8" t="n">
        <x:f>IF(AND(24&gt;='合同排期'!H24,24&lt;='合同排期'!I24),'合同排期'!M24/('合同排期'!I24-'合同排期'!H24+1),0)</x:f>
        <x:v>0</x:v>
      </x:c>
    </x:row>
    <x:row r="175" ht="23" customHeight="1">
      <x:c r="A175" s="1"/>
      <x:c r="B175" s="1"/>
      <x:c r="C175" s="1" t="str">
        <x:v>N01</x:v>
      </x:c>
      <x:c r="D175" s="1" t="str">
        <x:v>生效ARR</x:v>
      </x:c>
      <x:c r="E175" s="8" t="n">
        <x:f>IF(AND(1&gt;='合同排期'!J24,1&lt;'合同排期'!J24+12),'合同排期'!L24,0)</x:f>
        <x:v>0</x:v>
      </x:c>
      <x:c r="F175" s="8" t="n">
        <x:f>IF(AND(2&gt;='合同排期'!J24,2&lt;'合同排期'!J24+12),'合同排期'!L24,0)</x:f>
        <x:v>0</x:v>
      </x:c>
      <x:c r="G175" s="8" t="n">
        <x:f>IF(AND(3&gt;='合同排期'!J24,3&lt;'合同排期'!J24+12),'合同排期'!L24,0)</x:f>
        <x:v>0</x:v>
      </x:c>
      <x:c r="H175" s="8" t="n">
        <x:f>IF(AND(4&gt;='合同排期'!J24,4&lt;'合同排期'!J24+12),'合同排期'!L24,0)</x:f>
        <x:v>0</x:v>
      </x:c>
      <x:c r="I175" s="8" t="n">
        <x:f>IF(AND(5&gt;='合同排期'!J24,5&lt;'合同排期'!J24+12),'合同排期'!L24,0)</x:f>
        <x:v>0</x:v>
      </x:c>
      <x:c r="J175" s="8" t="n">
        <x:f>IF(AND(6&gt;='合同排期'!J24,6&lt;'合同排期'!J24+12),'合同排期'!L24,0)</x:f>
        <x:v>0</x:v>
      </x:c>
      <x:c r="K175" s="8" t="n">
        <x:f>IF(AND(7&gt;='合同排期'!J24,7&lt;'合同排期'!J24+12),'合同排期'!L24,0)</x:f>
        <x:v>0</x:v>
      </x:c>
      <x:c r="L175" s="8" t="n">
        <x:f>IF(AND(8&gt;='合同排期'!J24,8&lt;'合同排期'!J24+12),'合同排期'!L24,0)</x:f>
        <x:v>0</x:v>
      </x:c>
      <x:c r="M175" s="8" t="n">
        <x:f>IF(AND(9&gt;='合同排期'!J24,9&lt;'合同排期'!J24+12),'合同排期'!L24,0)</x:f>
        <x:v>0</x:v>
      </x:c>
      <x:c r="N175" s="8" t="n">
        <x:f>IF(AND(10&gt;='合同排期'!J24,10&lt;'合同排期'!J24+12),'合同排期'!L24,0)</x:f>
        <x:v>0</x:v>
      </x:c>
      <x:c r="O175" s="8" t="n">
        <x:f>IF(AND(11&gt;='合同排期'!J24,11&lt;'合同排期'!J24+12),'合同排期'!L24,0)</x:f>
        <x:v>0</x:v>
      </x:c>
      <x:c r="P175" s="8" t="n">
        <x:f>IF(AND(12&gt;='合同排期'!J24,12&lt;'合同排期'!J24+12),'合同排期'!L24,0)</x:f>
        <x:v>0</x:v>
      </x:c>
      <x:c r="Q175" s="8" t="n">
        <x:f>IF(AND(13&gt;='合同排期'!J24,13&lt;'合同排期'!J24+12),'合同排期'!L24,0)</x:f>
        <x:v>24</x:v>
      </x:c>
      <x:c r="R175" s="8" t="n">
        <x:f>IF(AND(14&gt;='合同排期'!J24,14&lt;'合同排期'!J24+12),'合同排期'!L24,0)</x:f>
        <x:v>24</x:v>
      </x:c>
      <x:c r="S175" s="8" t="n">
        <x:f>IF(AND(15&gt;='合同排期'!J24,15&lt;'合同排期'!J24+12),'合同排期'!L24,0)</x:f>
        <x:v>24</x:v>
      </x:c>
      <x:c r="T175" s="8" t="n">
        <x:f>IF(AND(16&gt;='合同排期'!J24,16&lt;'合同排期'!J24+12),'合同排期'!L24,0)</x:f>
        <x:v>24</x:v>
      </x:c>
      <x:c r="U175" s="8" t="n">
        <x:f>IF(AND(17&gt;='合同排期'!J24,17&lt;'合同排期'!J24+12),'合同排期'!L24,0)</x:f>
        <x:v>24</x:v>
      </x:c>
      <x:c r="V175" s="8" t="n">
        <x:f>IF(AND(18&gt;='合同排期'!J24,18&lt;'合同排期'!J24+12),'合同排期'!L24,0)</x:f>
        <x:v>24</x:v>
      </x:c>
      <x:c r="W175" s="8" t="n">
        <x:f>IF(AND(19&gt;='合同排期'!J24,19&lt;'合同排期'!J24+12),'合同排期'!L24,0)</x:f>
        <x:v>24</x:v>
      </x:c>
      <x:c r="X175" s="8" t="n">
        <x:f>IF(AND(20&gt;='合同排期'!J24,20&lt;'合同排期'!J24+12),'合同排期'!L24,0)</x:f>
        <x:v>24</x:v>
      </x:c>
      <x:c r="Y175" s="8" t="n">
        <x:f>IF(AND(21&gt;='合同排期'!J24,21&lt;'合同排期'!J24+12),'合同排期'!L24,0)</x:f>
        <x:v>24</x:v>
      </x:c>
      <x:c r="Z175" s="8" t="n">
        <x:f>IF(AND(22&gt;='合同排期'!J24,22&lt;'合同排期'!J24+12),'合同排期'!L24,0)</x:f>
        <x:v>24</x:v>
      </x:c>
      <x:c r="AA175" s="8" t="n">
        <x:f>IF(AND(23&gt;='合同排期'!J24,23&lt;'合同排期'!J24+12),'合同排期'!L24,0)</x:f>
        <x:v>24</x:v>
      </x:c>
      <x:c r="AB175" s="8" t="n">
        <x:f>IF(AND(24&gt;='合同排期'!J24,24&lt;'合同排期'!J24+12),'合同排期'!L24,0)</x:f>
        <x:v>24</x:v>
      </x:c>
    </x:row>
    <x:row r="176" ht="23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  <x:c r="AA176" s="1"/>
      <x:c r="AB176" s="1"/>
    </x:row>
    <x:row r="177" ht="23" customHeight="1">
      <x:c r="A177" s="1"/>
      <x:c r="B177" s="1"/>
      <x:c r="C177" s="1" t="str">
        <x:v>N02</x:v>
      </x:c>
      <x:c r="D177" s="1" t="str">
        <x:v>净签约</x:v>
      </x:c>
      <x:c r="E177" s="8" t="n">
        <x:f>IF(1='合同排期'!H25,'合同排期'!K25+'合同排期'!L25,0)</x:f>
        <x:v>0</x:v>
      </x:c>
      <x:c r="F177" s="8" t="n">
        <x:f>IF(2='合同排期'!H25,'合同排期'!K25+'合同排期'!L25,0)</x:f>
        <x:v>0</x:v>
      </x:c>
      <x:c r="G177" s="8" t="n">
        <x:f>IF(3='合同排期'!H25,'合同排期'!K25+'合同排期'!L25,0)</x:f>
        <x:v>0</x:v>
      </x:c>
      <x:c r="H177" s="8" t="n">
        <x:f>IF(4='合同排期'!H25,'合同排期'!K25+'合同排期'!L25,0)</x:f>
        <x:v>0</x:v>
      </x:c>
      <x:c r="I177" s="8" t="n">
        <x:f>IF(5='合同排期'!H25,'合同排期'!K25+'合同排期'!L25,0)</x:f>
        <x:v>0</x:v>
      </x:c>
      <x:c r="J177" s="8" t="n">
        <x:f>IF(6='合同排期'!H25,'合同排期'!K25+'合同排期'!L25,0)</x:f>
        <x:v>0</x:v>
      </x:c>
      <x:c r="K177" s="8" t="n">
        <x:f>IF(7='合同排期'!H25,'合同排期'!K25+'合同排期'!L25,0)</x:f>
        <x:v>0</x:v>
      </x:c>
      <x:c r="L177" s="8" t="n">
        <x:f>IF(8='合同排期'!H25,'合同排期'!K25+'合同排期'!L25,0)</x:f>
        <x:v>0</x:v>
      </x:c>
      <x:c r="M177" s="8" t="n">
        <x:f>IF(9='合同排期'!H25,'合同排期'!K25+'合同排期'!L25,0)</x:f>
        <x:v>0</x:v>
      </x:c>
      <x:c r="N177" s="8" t="n">
        <x:f>IF(10='合同排期'!H25,'合同排期'!K25+'合同排期'!L25,0)</x:f>
        <x:v>0</x:v>
      </x:c>
      <x:c r="O177" s="8" t="n">
        <x:f>IF(11='合同排期'!H25,'合同排期'!K25+'合同排期'!L25,0)</x:f>
        <x:v>0</x:v>
      </x:c>
      <x:c r="P177" s="8" t="n">
        <x:f>IF(12='合同排期'!H25,'合同排期'!K25+'合同排期'!L25,0)</x:f>
        <x:v>0</x:v>
      </x:c>
      <x:c r="Q177" s="8" t="n">
        <x:f>IF(13='合同排期'!H25,'合同排期'!K25+'合同排期'!L25,0)</x:f>
        <x:v>0</x:v>
      </x:c>
      <x:c r="R177" s="8" t="n">
        <x:f>IF(14='合同排期'!H25,'合同排期'!K25+'合同排期'!L25,0)</x:f>
        <x:v>0</x:v>
      </x:c>
      <x:c r="S177" s="8" t="n">
        <x:f>IF(15='合同排期'!H25,'合同排期'!K25+'合同排期'!L25,0)</x:f>
        <x:v>0</x:v>
      </x:c>
      <x:c r="T177" s="8" t="n">
        <x:f>IF(16='合同排期'!H25,'合同排期'!K25+'合同排期'!L25,0)</x:f>
        <x:v>0</x:v>
      </x:c>
      <x:c r="U177" s="8" t="n">
        <x:f>IF(17='合同排期'!H25,'合同排期'!K25+'合同排期'!L25,0)</x:f>
        <x:v>0</x:v>
      </x:c>
      <x:c r="V177" s="8" t="n">
        <x:f>IF(18='合同排期'!H25,'合同排期'!K25+'合同排期'!L25,0)</x:f>
        <x:v>0</x:v>
      </x:c>
      <x:c r="W177" s="8" t="n">
        <x:f>IF(19='合同排期'!H25,'合同排期'!K25+'合同排期'!L25,0)</x:f>
        <x:v>0</x:v>
      </x:c>
      <x:c r="X177" s="8" t="n">
        <x:f>IF(20='合同排期'!H25,'合同排期'!K25+'合同排期'!L25,0)</x:f>
        <x:v>0</x:v>
      </x:c>
      <x:c r="Y177" s="8" t="n">
        <x:f>IF(21='合同排期'!H25,'合同排期'!K25+'合同排期'!L25,0)</x:f>
        <x:v>0</x:v>
      </x:c>
      <x:c r="Z177" s="8" t="n">
        <x:f>IF(22='合同排期'!H25,'合同排期'!K25+'合同排期'!L25,0)</x:f>
        <x:v>0</x:v>
      </x:c>
      <x:c r="AA177" s="8" t="n">
        <x:f>IF(23='合同排期'!H25,'合同排期'!K25+'合同排期'!L25,0)</x:f>
        <x:v>0</x:v>
      </x:c>
      <x:c r="AB177" s="8" t="n">
        <x:f>IF(24='合同排期'!H25,'合同排期'!K25+'合同排期'!L25,0)</x:f>
        <x:v>0</x:v>
      </x:c>
    </x:row>
    <x:row r="178" ht="23" customHeight="1">
      <x:c r="A178" s="1"/>
      <x:c r="B178" s="1"/>
      <x:c r="C178" s="1" t="str">
        <x:v>N02</x:v>
      </x:c>
      <x:c r="D178" s="1" t="str">
        <x:v>确认收入</x:v>
      </x:c>
      <x:c r="E178" s="8" t="n">
        <x:f>IF(1='合同排期'!I25,'合同排期'!K25,0)+IF(AND(1&gt;='合同排期'!J25,1&lt;'合同排期'!J25+12),'合同排期'!L25/12,0)</x:f>
        <x:v>0</x:v>
      </x:c>
      <x:c r="F178" s="8" t="n">
        <x:f>IF(2='合同排期'!I25,'合同排期'!K25,0)+IF(AND(2&gt;='合同排期'!J25,2&lt;'合同排期'!J25+12),'合同排期'!L25/12,0)</x:f>
        <x:v>0</x:v>
      </x:c>
      <x:c r="G178" s="8" t="n">
        <x:f>IF(3='合同排期'!I25,'合同排期'!K25,0)+IF(AND(3&gt;='合同排期'!J25,3&lt;'合同排期'!J25+12),'合同排期'!L25/12,0)</x:f>
        <x:v>0</x:v>
      </x:c>
      <x:c r="H178" s="8" t="n">
        <x:f>IF(4='合同排期'!I25,'合同排期'!K25,0)+IF(AND(4&gt;='合同排期'!J25,4&lt;'合同排期'!J25+12),'合同排期'!L25/12,0)</x:f>
        <x:v>0</x:v>
      </x:c>
      <x:c r="I178" s="8" t="n">
        <x:f>IF(5='合同排期'!I25,'合同排期'!K25,0)+IF(AND(5&gt;='合同排期'!J25,5&lt;'合同排期'!J25+12),'合同排期'!L25/12,0)</x:f>
        <x:v>0</x:v>
      </x:c>
      <x:c r="J178" s="8" t="n">
        <x:f>IF(6='合同排期'!I25,'合同排期'!K25,0)+IF(AND(6&gt;='合同排期'!J25,6&lt;'合同排期'!J25+12),'合同排期'!L25/12,0)</x:f>
        <x:v>0</x:v>
      </x:c>
      <x:c r="K178" s="8" t="n">
        <x:f>IF(7='合同排期'!I25,'合同排期'!K25,0)+IF(AND(7&gt;='合同排期'!J25,7&lt;'合同排期'!J25+12),'合同排期'!L25/12,0)</x:f>
        <x:v>0</x:v>
      </x:c>
      <x:c r="L178" s="8" t="n">
        <x:f>IF(8='合同排期'!I25,'合同排期'!K25,0)+IF(AND(8&gt;='合同排期'!J25,8&lt;'合同排期'!J25+12),'合同排期'!L25/12,0)</x:f>
        <x:v>0</x:v>
      </x:c>
      <x:c r="M178" s="8" t="n">
        <x:f>IF(9='合同排期'!I25,'合同排期'!K25,0)+IF(AND(9&gt;='合同排期'!J25,9&lt;'合同排期'!J25+12),'合同排期'!L25/12,0)</x:f>
        <x:v>0</x:v>
      </x:c>
      <x:c r="N178" s="8" t="n">
        <x:f>IF(10='合同排期'!I25,'合同排期'!K25,0)+IF(AND(10&gt;='合同排期'!J25,10&lt;'合同排期'!J25+12),'合同排期'!L25/12,0)</x:f>
        <x:v>0</x:v>
      </x:c>
      <x:c r="O178" s="8" t="n">
        <x:f>IF(11='合同排期'!I25,'合同排期'!K25,0)+IF(AND(11&gt;='合同排期'!J25,11&lt;'合同排期'!J25+12),'合同排期'!L25/12,0)</x:f>
        <x:v>0</x:v>
      </x:c>
      <x:c r="P178" s="8" t="n">
        <x:f>IF(12='合同排期'!I25,'合同排期'!K25,0)+IF(AND(12&gt;='合同排期'!J25,12&lt;'合同排期'!J25+12),'合同排期'!L25/12,0)</x:f>
        <x:v>0</x:v>
      </x:c>
      <x:c r="Q178" s="8" t="n">
        <x:f>IF(13='合同排期'!I25,'合同排期'!K25,0)+IF(AND(13&gt;='合同排期'!J25,13&lt;'合同排期'!J25+12),'合同排期'!L25/12,0)</x:f>
        <x:v>0</x:v>
      </x:c>
      <x:c r="R178" s="8" t="n">
        <x:f>IF(14='合同排期'!I25,'合同排期'!K25,0)+IF(AND(14&gt;='合同排期'!J25,14&lt;'合同排期'!J25+12),'合同排期'!L25/12,0)</x:f>
        <x:v>0</x:v>
      </x:c>
      <x:c r="S178" s="8" t="n">
        <x:f>IF(15='合同排期'!I25,'合同排期'!K25,0)+IF(AND(15&gt;='合同排期'!J25,15&lt;'合同排期'!J25+12),'合同排期'!L25/12,0)</x:f>
        <x:v>0</x:v>
      </x:c>
      <x:c r="T178" s="8" t="n">
        <x:f>IF(16='合同排期'!I25,'合同排期'!K25,0)+IF(AND(16&gt;='合同排期'!J25,16&lt;'合同排期'!J25+12),'合同排期'!L25/12,0)</x:f>
        <x:v>0</x:v>
      </x:c>
      <x:c r="U178" s="8" t="n">
        <x:f>IF(17='合同排期'!I25,'合同排期'!K25,0)+IF(AND(17&gt;='合同排期'!J25,17&lt;'合同排期'!J25+12),'合同排期'!L25/12,0)</x:f>
        <x:v>0</x:v>
      </x:c>
      <x:c r="V178" s="8" t="n">
        <x:f>IF(18='合同排期'!I25,'合同排期'!K25,0)+IF(AND(18&gt;='合同排期'!J25,18&lt;'合同排期'!J25+12),'合同排期'!L25/12,0)</x:f>
        <x:v>0</x:v>
      </x:c>
      <x:c r="W178" s="8" t="n">
        <x:f>IF(19='合同排期'!I25,'合同排期'!K25,0)+IF(AND(19&gt;='合同排期'!J25,19&lt;'合同排期'!J25+12),'合同排期'!L25/12,0)</x:f>
        <x:v>0</x:v>
      </x:c>
      <x:c r="X178" s="8" t="n">
        <x:f>IF(20='合同排期'!I25,'合同排期'!K25,0)+IF(AND(20&gt;='合同排期'!J25,20&lt;'合同排期'!J25+12),'合同排期'!L25/12,0)</x:f>
        <x:v>0</x:v>
      </x:c>
      <x:c r="Y178" s="8" t="n">
        <x:f>IF(21='合同排期'!I25,'合同排期'!K25,0)+IF(AND(21&gt;='合同排期'!J25,21&lt;'合同排期'!J25+12),'合同排期'!L25/12,0)</x:f>
        <x:v>0</x:v>
      </x:c>
      <x:c r="Z178" s="8" t="n">
        <x:f>IF(22='合同排期'!I25,'合同排期'!K25,0)+IF(AND(22&gt;='合同排期'!J25,22&lt;'合同排期'!J25+12),'合同排期'!L25/12,0)</x:f>
        <x:v>0</x:v>
      </x:c>
      <x:c r="AA178" s="8" t="n">
        <x:f>IF(23='合同排期'!I25,'合同排期'!K25,0)+IF(AND(23&gt;='合同排期'!J25,23&lt;'合同排期'!J25+12),'合同排期'!L25/12,0)</x:f>
        <x:v>0</x:v>
      </x:c>
      <x:c r="AB178" s="8" t="n">
        <x:f>IF(24='合同排期'!I25,'合同排期'!K25,0)+IF(AND(24&gt;='合同排期'!J25,24&lt;'合同排期'!J25+12),'合同排期'!L25/12,0)</x:f>
        <x:v>0</x:v>
      </x:c>
    </x:row>
    <x:row r="179" ht="23" customHeight="1">
      <x:c r="A179" s="1"/>
      <x:c r="B179" s="1"/>
      <x:c r="C179" s="1" t="str">
        <x:v>N02</x:v>
      </x:c>
      <x:c r="D179" s="1" t="str">
        <x:v>开票</x:v>
      </x:c>
      <x:c r="E179" s="8" t="n">
        <x:f>IF(1='合同排期'!H25,'合同排期'!K25*'合同排期'!P25,0)+IF(1='合同排期'!S25,'合同排期'!K25*'合同排期'!Q25,0)+IF(1='合同排期'!I25,'合同排期'!K25*'合同排期'!R25,0)+IF(1='合同排期'!J25,'合同排期'!L25,0)</x:f>
        <x:v>0</x:v>
      </x:c>
      <x:c r="F179" s="8" t="n">
        <x:f>IF(2='合同排期'!H25,'合同排期'!K25*'合同排期'!P25,0)+IF(2='合同排期'!S25,'合同排期'!K25*'合同排期'!Q25,0)+IF(2='合同排期'!I25,'合同排期'!K25*'合同排期'!R25,0)+IF(2='合同排期'!J25,'合同排期'!L25,0)</x:f>
        <x:v>0</x:v>
      </x:c>
      <x:c r="G179" s="8" t="n">
        <x:f>IF(3='合同排期'!H25,'合同排期'!K25*'合同排期'!P25,0)+IF(3='合同排期'!S25,'合同排期'!K25*'合同排期'!Q25,0)+IF(3='合同排期'!I25,'合同排期'!K25*'合同排期'!R25,0)+IF(3='合同排期'!J25,'合同排期'!L25,0)</x:f>
        <x:v>0</x:v>
      </x:c>
      <x:c r="H179" s="8" t="n">
        <x:f>IF(4='合同排期'!H25,'合同排期'!K25*'合同排期'!P25,0)+IF(4='合同排期'!S25,'合同排期'!K25*'合同排期'!Q25,0)+IF(4='合同排期'!I25,'合同排期'!K25*'合同排期'!R25,0)+IF(4='合同排期'!J25,'合同排期'!L25,0)</x:f>
        <x:v>0</x:v>
      </x:c>
      <x:c r="I179" s="8" t="n">
        <x:f>IF(5='合同排期'!H25,'合同排期'!K25*'合同排期'!P25,0)+IF(5='合同排期'!S25,'合同排期'!K25*'合同排期'!Q25,0)+IF(5='合同排期'!I25,'合同排期'!K25*'合同排期'!R25,0)+IF(5='合同排期'!J25,'合同排期'!L25,0)</x:f>
        <x:v>0</x:v>
      </x:c>
      <x:c r="J179" s="8" t="n">
        <x:f>IF(6='合同排期'!H25,'合同排期'!K25*'合同排期'!P25,0)+IF(6='合同排期'!S25,'合同排期'!K25*'合同排期'!Q25,0)+IF(6='合同排期'!I25,'合同排期'!K25*'合同排期'!R25,0)+IF(6='合同排期'!J25,'合同排期'!L25,0)</x:f>
        <x:v>0</x:v>
      </x:c>
      <x:c r="K179" s="8" t="n">
        <x:f>IF(7='合同排期'!H25,'合同排期'!K25*'合同排期'!P25,0)+IF(7='合同排期'!S25,'合同排期'!K25*'合同排期'!Q25,0)+IF(7='合同排期'!I25,'合同排期'!K25*'合同排期'!R25,0)+IF(7='合同排期'!J25,'合同排期'!L25,0)</x:f>
        <x:v>0</x:v>
      </x:c>
      <x:c r="L179" s="8" t="n">
        <x:f>IF(8='合同排期'!H25,'合同排期'!K25*'合同排期'!P25,0)+IF(8='合同排期'!S25,'合同排期'!K25*'合同排期'!Q25,0)+IF(8='合同排期'!I25,'合同排期'!K25*'合同排期'!R25,0)+IF(8='合同排期'!J25,'合同排期'!L25,0)</x:f>
        <x:v>0</x:v>
      </x:c>
      <x:c r="M179" s="8" t="n">
        <x:f>IF(9='合同排期'!H25,'合同排期'!K25*'合同排期'!P25,0)+IF(9='合同排期'!S25,'合同排期'!K25*'合同排期'!Q25,0)+IF(9='合同排期'!I25,'合同排期'!K25*'合同排期'!R25,0)+IF(9='合同排期'!J25,'合同排期'!L25,0)</x:f>
        <x:v>0</x:v>
      </x:c>
      <x:c r="N179" s="8" t="n">
        <x:f>IF(10='合同排期'!H25,'合同排期'!K25*'合同排期'!P25,0)+IF(10='合同排期'!S25,'合同排期'!K25*'合同排期'!Q25,0)+IF(10='合同排期'!I25,'合同排期'!K25*'合同排期'!R25,0)+IF(10='合同排期'!J25,'合同排期'!L25,0)</x:f>
        <x:v>0</x:v>
      </x:c>
      <x:c r="O179" s="8" t="n">
        <x:f>IF(11='合同排期'!H25,'合同排期'!K25*'合同排期'!P25,0)+IF(11='合同排期'!S25,'合同排期'!K25*'合同排期'!Q25,0)+IF(11='合同排期'!I25,'合同排期'!K25*'合同排期'!R25,0)+IF(11='合同排期'!J25,'合同排期'!L25,0)</x:f>
        <x:v>0</x:v>
      </x:c>
      <x:c r="P179" s="8" t="n">
        <x:f>IF(12='合同排期'!H25,'合同排期'!K25*'合同排期'!P25,0)+IF(12='合同排期'!S25,'合同排期'!K25*'合同排期'!Q25,0)+IF(12='合同排期'!I25,'合同排期'!K25*'合同排期'!R25,0)+IF(12='合同排期'!J25,'合同排期'!L25,0)</x:f>
        <x:v>0</x:v>
      </x:c>
      <x:c r="Q179" s="8" t="n">
        <x:f>IF(13='合同排期'!H25,'合同排期'!K25*'合同排期'!P25,0)+IF(13='合同排期'!S25,'合同排期'!K25*'合同排期'!Q25,0)+IF(13='合同排期'!I25,'合同排期'!K25*'合同排期'!R25,0)+IF(13='合同排期'!J25,'合同排期'!L25,0)</x:f>
        <x:v>0</x:v>
      </x:c>
      <x:c r="R179" s="8" t="n">
        <x:f>IF(14='合同排期'!H25,'合同排期'!K25*'合同排期'!P25,0)+IF(14='合同排期'!S25,'合同排期'!K25*'合同排期'!Q25,0)+IF(14='合同排期'!I25,'合同排期'!K25*'合同排期'!R25,0)+IF(14='合同排期'!J25,'合同排期'!L25,0)</x:f>
        <x:v>0</x:v>
      </x:c>
      <x:c r="S179" s="8" t="n">
        <x:f>IF(15='合同排期'!H25,'合同排期'!K25*'合同排期'!P25,0)+IF(15='合同排期'!S25,'合同排期'!K25*'合同排期'!Q25,0)+IF(15='合同排期'!I25,'合同排期'!K25*'合同排期'!R25,0)+IF(15='合同排期'!J25,'合同排期'!L25,0)</x:f>
        <x:v>0</x:v>
      </x:c>
      <x:c r="T179" s="8" t="n">
        <x:f>IF(16='合同排期'!H25,'合同排期'!K25*'合同排期'!P25,0)+IF(16='合同排期'!S25,'合同排期'!K25*'合同排期'!Q25,0)+IF(16='合同排期'!I25,'合同排期'!K25*'合同排期'!R25,0)+IF(16='合同排期'!J25,'合同排期'!L25,0)</x:f>
        <x:v>0</x:v>
      </x:c>
      <x:c r="U179" s="8" t="n">
        <x:f>IF(17='合同排期'!H25,'合同排期'!K25*'合同排期'!P25,0)+IF(17='合同排期'!S25,'合同排期'!K25*'合同排期'!Q25,0)+IF(17='合同排期'!I25,'合同排期'!K25*'合同排期'!R25,0)+IF(17='合同排期'!J25,'合同排期'!L25,0)</x:f>
        <x:v>0</x:v>
      </x:c>
      <x:c r="V179" s="8" t="n">
        <x:f>IF(18='合同排期'!H25,'合同排期'!K25*'合同排期'!P25,0)+IF(18='合同排期'!S25,'合同排期'!K25*'合同排期'!Q25,0)+IF(18='合同排期'!I25,'合同排期'!K25*'合同排期'!R25,0)+IF(18='合同排期'!J25,'合同排期'!L25,0)</x:f>
        <x:v>0</x:v>
      </x:c>
      <x:c r="W179" s="8" t="n">
        <x:f>IF(19='合同排期'!H25,'合同排期'!K25*'合同排期'!P25,0)+IF(19='合同排期'!S25,'合同排期'!K25*'合同排期'!Q25,0)+IF(19='合同排期'!I25,'合同排期'!K25*'合同排期'!R25,0)+IF(19='合同排期'!J25,'合同排期'!L25,0)</x:f>
        <x:v>0</x:v>
      </x:c>
      <x:c r="X179" s="8" t="n">
        <x:f>IF(20='合同排期'!H25,'合同排期'!K25*'合同排期'!P25,0)+IF(20='合同排期'!S25,'合同排期'!K25*'合同排期'!Q25,0)+IF(20='合同排期'!I25,'合同排期'!K25*'合同排期'!R25,0)+IF(20='合同排期'!J25,'合同排期'!L25,0)</x:f>
        <x:v>0</x:v>
      </x:c>
      <x:c r="Y179" s="8" t="n">
        <x:f>IF(21='合同排期'!H25,'合同排期'!K25*'合同排期'!P25,0)+IF(21='合同排期'!S25,'合同排期'!K25*'合同排期'!Q25,0)+IF(21='合同排期'!I25,'合同排期'!K25*'合同排期'!R25,0)+IF(21='合同排期'!J25,'合同排期'!L25,0)</x:f>
        <x:v>0</x:v>
      </x:c>
      <x:c r="Z179" s="8" t="n">
        <x:f>IF(22='合同排期'!H25,'合同排期'!K25*'合同排期'!P25,0)+IF(22='合同排期'!S25,'合同排期'!K25*'合同排期'!Q25,0)+IF(22='合同排期'!I25,'合同排期'!K25*'合同排期'!R25,0)+IF(22='合同排期'!J25,'合同排期'!L25,0)</x:f>
        <x:v>0</x:v>
      </x:c>
      <x:c r="AA179" s="8" t="n">
        <x:f>IF(23='合同排期'!H25,'合同排期'!K25*'合同排期'!P25,0)+IF(23='合同排期'!S25,'合同排期'!K25*'合同排期'!Q25,0)+IF(23='合同排期'!I25,'合同排期'!K25*'合同排期'!R25,0)+IF(23='合同排期'!J25,'合同排期'!L25,0)</x:f>
        <x:v>0</x:v>
      </x:c>
      <x:c r="AB179" s="8" t="n">
        <x:f>IF(24='合同排期'!H25,'合同排期'!K25*'合同排期'!P25,0)+IF(24='合同排期'!S25,'合同排期'!K25*'合同排期'!Q25,0)+IF(24='合同排期'!I25,'合同排期'!K25*'合同排期'!R25,0)+IF(24='合同排期'!J25,'合同排期'!L25,0)</x:f>
        <x:v>0</x:v>
      </x:c>
    </x:row>
    <x:row r="180" ht="23" customHeight="1">
      <x:c r="A180" s="1"/>
      <x:c r="B180" s="1"/>
      <x:c r="C180" s="1" t="str">
        <x:v>N02</x:v>
      </x:c>
      <x:c r="D180" s="1" t="str">
        <x:v>回款</x:v>
      </x:c>
      <x:c r="E180" s="8" t="n">
        <x:f>IF(1&gt;'假设'!D27,INDEX($E179:$AB179,1,1-'假设'!D27),0)</x:f>
        <x:v>0</x:v>
      </x:c>
      <x:c r="F180" s="8" t="n">
        <x:f>IF(2&gt;'假设'!D27,INDEX($E179:$AB179,1,2-'假设'!D27),0)</x:f>
        <x:v>0</x:v>
      </x:c>
      <x:c r="G180" s="8" t="n">
        <x:f>IF(3&gt;'假设'!D27,INDEX($E179:$AB179,1,3-'假设'!D27),0)</x:f>
        <x:v>0</x:v>
      </x:c>
      <x:c r="H180" s="8" t="n">
        <x:f>IF(4&gt;'假设'!D27,INDEX($E179:$AB179,1,4-'假设'!D27),0)</x:f>
        <x:v>0</x:v>
      </x:c>
      <x:c r="I180" s="8" t="n">
        <x:f>IF(5&gt;'假设'!D27,INDEX($E179:$AB179,1,5-'假设'!D27),0)</x:f>
        <x:v>0</x:v>
      </x:c>
      <x:c r="J180" s="8" t="n">
        <x:f>IF(6&gt;'假设'!D27,INDEX($E179:$AB179,1,6-'假设'!D27),0)</x:f>
        <x:v>0</x:v>
      </x:c>
      <x:c r="K180" s="8" t="n">
        <x:f>IF(7&gt;'假设'!D27,INDEX($E179:$AB179,1,7-'假设'!D27),0)</x:f>
        <x:v>0</x:v>
      </x:c>
      <x:c r="L180" s="8" t="n">
        <x:f>IF(8&gt;'假设'!D27,INDEX($E179:$AB179,1,8-'假设'!D27),0)</x:f>
        <x:v>0</x:v>
      </x:c>
      <x:c r="M180" s="8" t="n">
        <x:f>IF(9&gt;'假设'!D27,INDEX($E179:$AB179,1,9-'假设'!D27),0)</x:f>
        <x:v>0</x:v>
      </x:c>
      <x:c r="N180" s="8" t="n">
        <x:f>IF(10&gt;'假设'!D27,INDEX($E179:$AB179,1,10-'假设'!D27),0)</x:f>
        <x:v>0</x:v>
      </x:c>
      <x:c r="O180" s="8" t="n">
        <x:f>IF(11&gt;'假设'!D27,INDEX($E179:$AB179,1,11-'假设'!D27),0)</x:f>
        <x:v>0</x:v>
      </x:c>
      <x:c r="P180" s="8" t="n">
        <x:f>IF(12&gt;'假设'!D27,INDEX($E179:$AB179,1,12-'假设'!D27),0)</x:f>
        <x:v>0</x:v>
      </x:c>
      <x:c r="Q180" s="8" t="n">
        <x:f>IF(13&gt;'假设'!D27,INDEX($E179:$AB179,1,13-'假设'!D27),0)</x:f>
        <x:v>0</x:v>
      </x:c>
      <x:c r="R180" s="8" t="n">
        <x:f>IF(14&gt;'假设'!D27,INDEX($E179:$AB179,1,14-'假设'!D27),0)</x:f>
        <x:v>0</x:v>
      </x:c>
      <x:c r="S180" s="8" t="n">
        <x:f>IF(15&gt;'假设'!D27,INDEX($E179:$AB179,1,15-'假设'!D27),0)</x:f>
        <x:v>0</x:v>
      </x:c>
      <x:c r="T180" s="8" t="n">
        <x:f>IF(16&gt;'假设'!D27,INDEX($E179:$AB179,1,16-'假设'!D27),0)</x:f>
        <x:v>0</x:v>
      </x:c>
      <x:c r="U180" s="8" t="n">
        <x:f>IF(17&gt;'假设'!D27,INDEX($E179:$AB179,1,17-'假设'!D27),0)</x:f>
        <x:v>0</x:v>
      </x:c>
      <x:c r="V180" s="8" t="n">
        <x:f>IF(18&gt;'假设'!D27,INDEX($E179:$AB179,1,18-'假设'!D27),0)</x:f>
        <x:v>0</x:v>
      </x:c>
      <x:c r="W180" s="8" t="n">
        <x:f>IF(19&gt;'假设'!D27,INDEX($E179:$AB179,1,19-'假设'!D27),0)</x:f>
        <x:v>0</x:v>
      </x:c>
      <x:c r="X180" s="8" t="n">
        <x:f>IF(20&gt;'假设'!D27,INDEX($E179:$AB179,1,20-'假设'!D27),0)</x:f>
        <x:v>0</x:v>
      </x:c>
      <x:c r="Y180" s="8" t="n">
        <x:f>IF(21&gt;'假设'!D27,INDEX($E179:$AB179,1,21-'假设'!D27),0)</x:f>
        <x:v>0</x:v>
      </x:c>
      <x:c r="Z180" s="8" t="n">
        <x:f>IF(22&gt;'假设'!D27,INDEX($E179:$AB179,1,22-'假设'!D27),0)</x:f>
        <x:v>0</x:v>
      </x:c>
      <x:c r="AA180" s="8" t="n">
        <x:f>IF(23&gt;'假设'!D27,INDEX($E179:$AB179,1,23-'假设'!D27),0)</x:f>
        <x:v>0</x:v>
      </x:c>
      <x:c r="AB180" s="8" t="n">
        <x:f>IF(24&gt;'假设'!D27,INDEX($E179:$AB179,1,24-'假设'!D27),0)</x:f>
        <x:v>0</x:v>
      </x:c>
    </x:row>
    <x:row r="181" ht="23" customHeight="1">
      <x:c r="A181" s="1"/>
      <x:c r="B181" s="1"/>
      <x:c r="C181" s="1" t="str">
        <x:v>N02</x:v>
      </x:c>
      <x:c r="D181" s="1" t="str">
        <x:v>直接损益成本</x:v>
      </x:c>
      <x:c r="E181" s="8" t="n">
        <x:f>IF(1='合同排期'!I25,'合同排期'!N25,0)+IF(AND(1&gt;='合同排期'!J25,1&lt;'合同排期'!J25+12),'合同排期'!O25,0)+E177*'假设'!D47</x:f>
        <x:v>0</x:v>
      </x:c>
      <x:c r="F181" s="8" t="n">
        <x:f>IF(2='合同排期'!I25,'合同排期'!N25,0)+IF(AND(2&gt;='合同排期'!J25,2&lt;'合同排期'!J25+12),'合同排期'!O25,0)+F177*'假设'!D47</x:f>
        <x:v>0</x:v>
      </x:c>
      <x:c r="G181" s="8" t="n">
        <x:f>IF(3='合同排期'!I25,'合同排期'!N25,0)+IF(AND(3&gt;='合同排期'!J25,3&lt;'合同排期'!J25+12),'合同排期'!O25,0)+G177*'假设'!D47</x:f>
        <x:v>0</x:v>
      </x:c>
      <x:c r="H181" s="8" t="n">
        <x:f>IF(4='合同排期'!I25,'合同排期'!N25,0)+IF(AND(4&gt;='合同排期'!J25,4&lt;'合同排期'!J25+12),'合同排期'!O25,0)+H177*'假设'!D47</x:f>
        <x:v>0</x:v>
      </x:c>
      <x:c r="I181" s="8" t="n">
        <x:f>IF(5='合同排期'!I25,'合同排期'!N25,0)+IF(AND(5&gt;='合同排期'!J25,5&lt;'合同排期'!J25+12),'合同排期'!O25,0)+I177*'假设'!D47</x:f>
        <x:v>0</x:v>
      </x:c>
      <x:c r="J181" s="8" t="n">
        <x:f>IF(6='合同排期'!I25,'合同排期'!N25,0)+IF(AND(6&gt;='合同排期'!J25,6&lt;'合同排期'!J25+12),'合同排期'!O25,0)+J177*'假设'!D47</x:f>
        <x:v>0</x:v>
      </x:c>
      <x:c r="K181" s="8" t="n">
        <x:f>IF(7='合同排期'!I25,'合同排期'!N25,0)+IF(AND(7&gt;='合同排期'!J25,7&lt;'合同排期'!J25+12),'合同排期'!O25,0)+K177*'假设'!D47</x:f>
        <x:v>0</x:v>
      </x:c>
      <x:c r="L181" s="8" t="n">
        <x:f>IF(8='合同排期'!I25,'合同排期'!N25,0)+IF(AND(8&gt;='合同排期'!J25,8&lt;'合同排期'!J25+12),'合同排期'!O25,0)+L177*'假设'!D47</x:f>
        <x:v>0</x:v>
      </x:c>
      <x:c r="M181" s="8" t="n">
        <x:f>IF(9='合同排期'!I25,'合同排期'!N25,0)+IF(AND(9&gt;='合同排期'!J25,9&lt;'合同排期'!J25+12),'合同排期'!O25,0)+M177*'假设'!D47</x:f>
        <x:v>0</x:v>
      </x:c>
      <x:c r="N181" s="8" t="n">
        <x:f>IF(10='合同排期'!I25,'合同排期'!N25,0)+IF(AND(10&gt;='合同排期'!J25,10&lt;'合同排期'!J25+12),'合同排期'!O25,0)+N177*'假设'!D47</x:f>
        <x:v>0</x:v>
      </x:c>
      <x:c r="O181" s="8" t="n">
        <x:f>IF(11='合同排期'!I25,'合同排期'!N25,0)+IF(AND(11&gt;='合同排期'!J25,11&lt;'合同排期'!J25+12),'合同排期'!O25,0)+O177*'假设'!D47</x:f>
        <x:v>0</x:v>
      </x:c>
      <x:c r="P181" s="8" t="n">
        <x:f>IF(12='合同排期'!I25,'合同排期'!N25,0)+IF(AND(12&gt;='合同排期'!J25,12&lt;'合同排期'!J25+12),'合同排期'!O25,0)+P177*'假设'!D47</x:f>
        <x:v>0</x:v>
      </x:c>
      <x:c r="Q181" s="8" t="n">
        <x:f>IF(13='合同排期'!I25,'合同排期'!N25,0)+IF(AND(13&gt;='合同排期'!J25,13&lt;'合同排期'!J25+12),'合同排期'!O25,0)+Q177*'假设'!D47</x:f>
        <x:v>0</x:v>
      </x:c>
      <x:c r="R181" s="8" t="n">
        <x:f>IF(14='合同排期'!I25,'合同排期'!N25,0)+IF(AND(14&gt;='合同排期'!J25,14&lt;'合同排期'!J25+12),'合同排期'!O25,0)+R177*'假设'!D47</x:f>
        <x:v>0</x:v>
      </x:c>
      <x:c r="S181" s="8" t="n">
        <x:f>IF(15='合同排期'!I25,'合同排期'!N25,0)+IF(AND(15&gt;='合同排期'!J25,15&lt;'合同排期'!J25+12),'合同排期'!O25,0)+S177*'假设'!D47</x:f>
        <x:v>0</x:v>
      </x:c>
      <x:c r="T181" s="8" t="n">
        <x:f>IF(16='合同排期'!I25,'合同排期'!N25,0)+IF(AND(16&gt;='合同排期'!J25,16&lt;'合同排期'!J25+12),'合同排期'!O25,0)+T177*'假设'!D47</x:f>
        <x:v>0</x:v>
      </x:c>
      <x:c r="U181" s="8" t="n">
        <x:f>IF(17='合同排期'!I25,'合同排期'!N25,0)+IF(AND(17&gt;='合同排期'!J25,17&lt;'合同排期'!J25+12),'合同排期'!O25,0)+U177*'假设'!D47</x:f>
        <x:v>0</x:v>
      </x:c>
      <x:c r="V181" s="8" t="n">
        <x:f>IF(18='合同排期'!I25,'合同排期'!N25,0)+IF(AND(18&gt;='合同排期'!J25,18&lt;'合同排期'!J25+12),'合同排期'!O25,0)+V177*'假设'!D47</x:f>
        <x:v>0</x:v>
      </x:c>
      <x:c r="W181" s="8" t="n">
        <x:f>IF(19='合同排期'!I25,'合同排期'!N25,0)+IF(AND(19&gt;='合同排期'!J25,19&lt;'合同排期'!J25+12),'合同排期'!O25,0)+W177*'假设'!D47</x:f>
        <x:v>0</x:v>
      </x:c>
      <x:c r="X181" s="8" t="n">
        <x:f>IF(20='合同排期'!I25,'合同排期'!N25,0)+IF(AND(20&gt;='合同排期'!J25,20&lt;'合同排期'!J25+12),'合同排期'!O25,0)+X177*'假设'!D47</x:f>
        <x:v>0</x:v>
      </x:c>
      <x:c r="Y181" s="8" t="n">
        <x:f>IF(21='合同排期'!I25,'合同排期'!N25,0)+IF(AND(21&gt;='合同排期'!J25,21&lt;'合同排期'!J25+12),'合同排期'!O25,0)+Y177*'假设'!D47</x:f>
        <x:v>0</x:v>
      </x:c>
      <x:c r="Z181" s="8" t="n">
        <x:f>IF(22='合同排期'!I25,'合同排期'!N25,0)+IF(AND(22&gt;='合同排期'!J25,22&lt;'合同排期'!J25+12),'合同排期'!O25,0)+Z177*'假设'!D47</x:f>
        <x:v>0</x:v>
      </x:c>
      <x:c r="AA181" s="8" t="n">
        <x:f>IF(23='合同排期'!I25,'合同排期'!N25,0)+IF(AND(23&gt;='合同排期'!J25,23&lt;'合同排期'!J25+12),'合同排期'!O25,0)+AA177*'假设'!D47</x:f>
        <x:v>0</x:v>
      </x:c>
      <x:c r="AB181" s="8" t="n">
        <x:f>IF(24='合同排期'!I25,'合同排期'!N25,0)+IF(AND(24&gt;='合同排期'!J25,24&lt;'合同排期'!J25+12),'合同排期'!O25,0)+AB177*'假设'!D47</x:f>
        <x:v>0</x:v>
      </x:c>
    </x:row>
    <x:row r="182" ht="23" customHeight="1">
      <x:c r="A182" s="1"/>
      <x:c r="B182" s="1"/>
      <x:c r="C182" s="1" t="str">
        <x:v>N02</x:v>
      </x:c>
      <x:c r="D182" s="1" t="str">
        <x:v>直接现金成本</x:v>
      </x:c>
      <x:c r="E182" s="8" t="n">
        <x:f>IF(AND(1&gt;='合同排期'!H25,1&lt;='合同排期'!I25),'合同排期'!N25/('合同排期'!I25-'合同排期'!H25+1),0)+IF(AND(1&gt;='合同排期'!J25,1&lt;'合同排期'!J25+12),'合同排期'!O25,0)+E180*'假设'!D47</x:f>
        <x:v>0</x:v>
      </x:c>
      <x:c r="F182" s="8" t="n">
        <x:f>IF(AND(2&gt;='合同排期'!H25,2&lt;='合同排期'!I25),'合同排期'!N25/('合同排期'!I25-'合同排期'!H25+1),0)+IF(AND(2&gt;='合同排期'!J25,2&lt;'合同排期'!J25+12),'合同排期'!O25,0)+F180*'假设'!D47</x:f>
        <x:v>0</x:v>
      </x:c>
      <x:c r="G182" s="8" t="n">
        <x:f>IF(AND(3&gt;='合同排期'!H25,3&lt;='合同排期'!I25),'合同排期'!N25/('合同排期'!I25-'合同排期'!H25+1),0)+IF(AND(3&gt;='合同排期'!J25,3&lt;'合同排期'!J25+12),'合同排期'!O25,0)+G180*'假设'!D47</x:f>
        <x:v>0</x:v>
      </x:c>
      <x:c r="H182" s="8" t="n">
        <x:f>IF(AND(4&gt;='合同排期'!H25,4&lt;='合同排期'!I25),'合同排期'!N25/('合同排期'!I25-'合同排期'!H25+1),0)+IF(AND(4&gt;='合同排期'!J25,4&lt;'合同排期'!J25+12),'合同排期'!O25,0)+H180*'假设'!D47</x:f>
        <x:v>0</x:v>
      </x:c>
      <x:c r="I182" s="8" t="n">
        <x:f>IF(AND(5&gt;='合同排期'!H25,5&lt;='合同排期'!I25),'合同排期'!N25/('合同排期'!I25-'合同排期'!H25+1),0)+IF(AND(5&gt;='合同排期'!J25,5&lt;'合同排期'!J25+12),'合同排期'!O25,0)+I180*'假设'!D47</x:f>
        <x:v>0</x:v>
      </x:c>
      <x:c r="J182" s="8" t="n">
        <x:f>IF(AND(6&gt;='合同排期'!H25,6&lt;='合同排期'!I25),'合同排期'!N25/('合同排期'!I25-'合同排期'!H25+1),0)+IF(AND(6&gt;='合同排期'!J25,6&lt;'合同排期'!J25+12),'合同排期'!O25,0)+J180*'假设'!D47</x:f>
        <x:v>0</x:v>
      </x:c>
      <x:c r="K182" s="8" t="n">
        <x:f>IF(AND(7&gt;='合同排期'!H25,7&lt;='合同排期'!I25),'合同排期'!N25/('合同排期'!I25-'合同排期'!H25+1),0)+IF(AND(7&gt;='合同排期'!J25,7&lt;'合同排期'!J25+12),'合同排期'!O25,0)+K180*'假设'!D47</x:f>
        <x:v>0</x:v>
      </x:c>
      <x:c r="L182" s="8" t="n">
        <x:f>IF(AND(8&gt;='合同排期'!H25,8&lt;='合同排期'!I25),'合同排期'!N25/('合同排期'!I25-'合同排期'!H25+1),0)+IF(AND(8&gt;='合同排期'!J25,8&lt;'合同排期'!J25+12),'合同排期'!O25,0)+L180*'假设'!D47</x:f>
        <x:v>0</x:v>
      </x:c>
      <x:c r="M182" s="8" t="n">
        <x:f>IF(AND(9&gt;='合同排期'!H25,9&lt;='合同排期'!I25),'合同排期'!N25/('合同排期'!I25-'合同排期'!H25+1),0)+IF(AND(9&gt;='合同排期'!J25,9&lt;'合同排期'!J25+12),'合同排期'!O25,0)+M180*'假设'!D47</x:f>
        <x:v>0</x:v>
      </x:c>
      <x:c r="N182" s="8" t="n">
        <x:f>IF(AND(10&gt;='合同排期'!H25,10&lt;='合同排期'!I25),'合同排期'!N25/('合同排期'!I25-'合同排期'!H25+1),0)+IF(AND(10&gt;='合同排期'!J25,10&lt;'合同排期'!J25+12),'合同排期'!O25,0)+N180*'假设'!D47</x:f>
        <x:v>0</x:v>
      </x:c>
      <x:c r="O182" s="8" t="n">
        <x:f>IF(AND(11&gt;='合同排期'!H25,11&lt;='合同排期'!I25),'合同排期'!N25/('合同排期'!I25-'合同排期'!H25+1),0)+IF(AND(11&gt;='合同排期'!J25,11&lt;'合同排期'!J25+12),'合同排期'!O25,0)+O180*'假设'!D47</x:f>
        <x:v>0</x:v>
      </x:c>
      <x:c r="P182" s="8" t="n">
        <x:f>IF(AND(12&gt;='合同排期'!H25,12&lt;='合同排期'!I25),'合同排期'!N25/('合同排期'!I25-'合同排期'!H25+1),0)+IF(AND(12&gt;='合同排期'!J25,12&lt;'合同排期'!J25+12),'合同排期'!O25,0)+P180*'假设'!D47</x:f>
        <x:v>0</x:v>
      </x:c>
      <x:c r="Q182" s="8" t="n">
        <x:f>IF(AND(13&gt;='合同排期'!H25,13&lt;='合同排期'!I25),'合同排期'!N25/('合同排期'!I25-'合同排期'!H25+1),0)+IF(AND(13&gt;='合同排期'!J25,13&lt;'合同排期'!J25+12),'合同排期'!O25,0)+Q180*'假设'!D47</x:f>
        <x:v>0</x:v>
      </x:c>
      <x:c r="R182" s="8" t="n">
        <x:f>IF(AND(14&gt;='合同排期'!H25,14&lt;='合同排期'!I25),'合同排期'!N25/('合同排期'!I25-'合同排期'!H25+1),0)+IF(AND(14&gt;='合同排期'!J25,14&lt;'合同排期'!J25+12),'合同排期'!O25,0)+R180*'假设'!D47</x:f>
        <x:v>0</x:v>
      </x:c>
      <x:c r="S182" s="8" t="n">
        <x:f>IF(AND(15&gt;='合同排期'!H25,15&lt;='合同排期'!I25),'合同排期'!N25/('合同排期'!I25-'合同排期'!H25+1),0)+IF(AND(15&gt;='合同排期'!J25,15&lt;'合同排期'!J25+12),'合同排期'!O25,0)+S180*'假设'!D47</x:f>
        <x:v>0</x:v>
      </x:c>
      <x:c r="T182" s="8" t="n">
        <x:f>IF(AND(16&gt;='合同排期'!H25,16&lt;='合同排期'!I25),'合同排期'!N25/('合同排期'!I25-'合同排期'!H25+1),0)+IF(AND(16&gt;='合同排期'!J25,16&lt;'合同排期'!J25+12),'合同排期'!O25,0)+T180*'假设'!D47</x:f>
        <x:v>0</x:v>
      </x:c>
      <x:c r="U182" s="8" t="n">
        <x:f>IF(AND(17&gt;='合同排期'!H25,17&lt;='合同排期'!I25),'合同排期'!N25/('合同排期'!I25-'合同排期'!H25+1),0)+IF(AND(17&gt;='合同排期'!J25,17&lt;'合同排期'!J25+12),'合同排期'!O25,0)+U180*'假设'!D47</x:f>
        <x:v>0</x:v>
      </x:c>
      <x:c r="V182" s="8" t="n">
        <x:f>IF(AND(18&gt;='合同排期'!H25,18&lt;='合同排期'!I25),'合同排期'!N25/('合同排期'!I25-'合同排期'!H25+1),0)+IF(AND(18&gt;='合同排期'!J25,18&lt;'合同排期'!J25+12),'合同排期'!O25,0)+V180*'假设'!D47</x:f>
        <x:v>0</x:v>
      </x:c>
      <x:c r="W182" s="8" t="n">
        <x:f>IF(AND(19&gt;='合同排期'!H25,19&lt;='合同排期'!I25),'合同排期'!N25/('合同排期'!I25-'合同排期'!H25+1),0)+IF(AND(19&gt;='合同排期'!J25,19&lt;'合同排期'!J25+12),'合同排期'!O25,0)+W180*'假设'!D47</x:f>
        <x:v>0</x:v>
      </x:c>
      <x:c r="X182" s="8" t="n">
        <x:f>IF(AND(20&gt;='合同排期'!H25,20&lt;='合同排期'!I25),'合同排期'!N25/('合同排期'!I25-'合同排期'!H25+1),0)+IF(AND(20&gt;='合同排期'!J25,20&lt;'合同排期'!J25+12),'合同排期'!O25,0)+X180*'假设'!D47</x:f>
        <x:v>0</x:v>
      </x:c>
      <x:c r="Y182" s="8" t="n">
        <x:f>IF(AND(21&gt;='合同排期'!H25,21&lt;='合同排期'!I25),'合同排期'!N25/('合同排期'!I25-'合同排期'!H25+1),0)+IF(AND(21&gt;='合同排期'!J25,21&lt;'合同排期'!J25+12),'合同排期'!O25,0)+Y180*'假设'!D47</x:f>
        <x:v>0</x:v>
      </x:c>
      <x:c r="Z182" s="8" t="n">
        <x:f>IF(AND(22&gt;='合同排期'!H25,22&lt;='合同排期'!I25),'合同排期'!N25/('合同排期'!I25-'合同排期'!H25+1),0)+IF(AND(22&gt;='合同排期'!J25,22&lt;'合同排期'!J25+12),'合同排期'!O25,0)+Z180*'假设'!D47</x:f>
        <x:v>0</x:v>
      </x:c>
      <x:c r="AA182" s="8" t="n">
        <x:f>IF(AND(23&gt;='合同排期'!H25,23&lt;='合同排期'!I25),'合同排期'!N25/('合同排期'!I25-'合同排期'!H25+1),0)+IF(AND(23&gt;='合同排期'!J25,23&lt;'合同排期'!J25+12),'合同排期'!O25,0)+AA180*'假设'!D47</x:f>
        <x:v>0</x:v>
      </x:c>
      <x:c r="AB182" s="8" t="n">
        <x:f>IF(AND(24&gt;='合同排期'!H25,24&lt;='合同排期'!I25),'合同排期'!N25/('合同排期'!I25-'合同排期'!H25+1),0)+IF(AND(24&gt;='合同排期'!J25,24&lt;'合同排期'!J25+12),'合同排期'!O25,0)+AB180*'假设'!D47</x:f>
        <x:v>0</x:v>
      </x:c>
    </x:row>
    <x:row r="183" ht="23" customHeight="1">
      <x:c r="A183" s="1"/>
      <x:c r="B183" s="1"/>
      <x:c r="C183" s="1" t="str">
        <x:v>N02</x:v>
      </x:c>
      <x:c r="D183" s="1" t="str">
        <x:v>工程交付人月</x:v>
      </x:c>
      <x:c r="E183" s="8" t="n">
        <x:f>IF(AND(1&gt;='合同排期'!H25,1&lt;='合同排期'!I25),'合同排期'!M25/('合同排期'!I25-'合同排期'!H25+1),0)</x:f>
        <x:v>0</x:v>
      </x:c>
      <x:c r="F183" s="8" t="n">
        <x:f>IF(AND(2&gt;='合同排期'!H25,2&lt;='合同排期'!I25),'合同排期'!M25/('合同排期'!I25-'合同排期'!H25+1),0)</x:f>
        <x:v>0</x:v>
      </x:c>
      <x:c r="G183" s="8" t="n">
        <x:f>IF(AND(3&gt;='合同排期'!H25,3&lt;='合同排期'!I25),'合同排期'!M25/('合同排期'!I25-'合同排期'!H25+1),0)</x:f>
        <x:v>0</x:v>
      </x:c>
      <x:c r="H183" s="8" t="n">
        <x:f>IF(AND(4&gt;='合同排期'!H25,4&lt;='合同排期'!I25),'合同排期'!M25/('合同排期'!I25-'合同排期'!H25+1),0)</x:f>
        <x:v>0</x:v>
      </x:c>
      <x:c r="I183" s="8" t="n">
        <x:f>IF(AND(5&gt;='合同排期'!H25,5&lt;='合同排期'!I25),'合同排期'!M25/('合同排期'!I25-'合同排期'!H25+1),0)</x:f>
        <x:v>0</x:v>
      </x:c>
      <x:c r="J183" s="8" t="n">
        <x:f>IF(AND(6&gt;='合同排期'!H25,6&lt;='合同排期'!I25),'合同排期'!M25/('合同排期'!I25-'合同排期'!H25+1),0)</x:f>
        <x:v>0</x:v>
      </x:c>
      <x:c r="K183" s="8" t="n">
        <x:f>IF(AND(7&gt;='合同排期'!H25,7&lt;='合同排期'!I25),'合同排期'!M25/('合同排期'!I25-'合同排期'!H25+1),0)</x:f>
        <x:v>0</x:v>
      </x:c>
      <x:c r="L183" s="8" t="n">
        <x:f>IF(AND(8&gt;='合同排期'!H25,8&lt;='合同排期'!I25),'合同排期'!M25/('合同排期'!I25-'合同排期'!H25+1),0)</x:f>
        <x:v>0</x:v>
      </x:c>
      <x:c r="M183" s="8" t="n">
        <x:f>IF(AND(9&gt;='合同排期'!H25,9&lt;='合同排期'!I25),'合同排期'!M25/('合同排期'!I25-'合同排期'!H25+1),0)</x:f>
        <x:v>0</x:v>
      </x:c>
      <x:c r="N183" s="8" t="n">
        <x:f>IF(AND(10&gt;='合同排期'!H25,10&lt;='合同排期'!I25),'合同排期'!M25/('合同排期'!I25-'合同排期'!H25+1),0)</x:f>
        <x:v>0</x:v>
      </x:c>
      <x:c r="O183" s="8" t="n">
        <x:f>IF(AND(11&gt;='合同排期'!H25,11&lt;='合同排期'!I25),'合同排期'!M25/('合同排期'!I25-'合同排期'!H25+1),0)</x:f>
        <x:v>0</x:v>
      </x:c>
      <x:c r="P183" s="8" t="n">
        <x:f>IF(AND(12&gt;='合同排期'!H25,12&lt;='合同排期'!I25),'合同排期'!M25/('合同排期'!I25-'合同排期'!H25+1),0)</x:f>
        <x:v>0</x:v>
      </x:c>
      <x:c r="Q183" s="8" t="n">
        <x:f>IF(AND(13&gt;='合同排期'!H25,13&lt;='合同排期'!I25),'合同排期'!M25/('合同排期'!I25-'合同排期'!H25+1),0)</x:f>
        <x:v>0</x:v>
      </x:c>
      <x:c r="R183" s="8" t="n">
        <x:f>IF(AND(14&gt;='合同排期'!H25,14&lt;='合同排期'!I25),'合同排期'!M25/('合同排期'!I25-'合同排期'!H25+1),0)</x:f>
        <x:v>0</x:v>
      </x:c>
      <x:c r="S183" s="8" t="n">
        <x:f>IF(AND(15&gt;='合同排期'!H25,15&lt;='合同排期'!I25),'合同排期'!M25/('合同排期'!I25-'合同排期'!H25+1),0)</x:f>
        <x:v>0</x:v>
      </x:c>
      <x:c r="T183" s="8" t="n">
        <x:f>IF(AND(16&gt;='合同排期'!H25,16&lt;='合同排期'!I25),'合同排期'!M25/('合同排期'!I25-'合同排期'!H25+1),0)</x:f>
        <x:v>0</x:v>
      </x:c>
      <x:c r="U183" s="8" t="n">
        <x:f>IF(AND(17&gt;='合同排期'!H25,17&lt;='合同排期'!I25),'合同排期'!M25/('合同排期'!I25-'合同排期'!H25+1),0)</x:f>
        <x:v>0</x:v>
      </x:c>
      <x:c r="V183" s="8" t="n">
        <x:f>IF(AND(18&gt;='合同排期'!H25,18&lt;='合同排期'!I25),'合同排期'!M25/('合同排期'!I25-'合同排期'!H25+1),0)</x:f>
        <x:v>0</x:v>
      </x:c>
      <x:c r="W183" s="8" t="n">
        <x:f>IF(AND(19&gt;='合同排期'!H25,19&lt;='合同排期'!I25),'合同排期'!M25/('合同排期'!I25-'合同排期'!H25+1),0)</x:f>
        <x:v>0</x:v>
      </x:c>
      <x:c r="X183" s="8" t="n">
        <x:f>IF(AND(20&gt;='合同排期'!H25,20&lt;='合同排期'!I25),'合同排期'!M25/('合同排期'!I25-'合同排期'!H25+1),0)</x:f>
        <x:v>0</x:v>
      </x:c>
      <x:c r="Y183" s="8" t="n">
        <x:f>IF(AND(21&gt;='合同排期'!H25,21&lt;='合同排期'!I25),'合同排期'!M25/('合同排期'!I25-'合同排期'!H25+1),0)</x:f>
        <x:v>0</x:v>
      </x:c>
      <x:c r="Z183" s="8" t="n">
        <x:f>IF(AND(22&gt;='合同排期'!H25,22&lt;='合同排期'!I25),'合同排期'!M25/('合同排期'!I25-'合同排期'!H25+1),0)</x:f>
        <x:v>0</x:v>
      </x:c>
      <x:c r="AA183" s="8" t="n">
        <x:f>IF(AND(23&gt;='合同排期'!H25,23&lt;='合同排期'!I25),'合同排期'!M25/('合同排期'!I25-'合同排期'!H25+1),0)</x:f>
        <x:v>0</x:v>
      </x:c>
      <x:c r="AB183" s="8" t="n">
        <x:f>IF(AND(24&gt;='合同排期'!H25,24&lt;='合同排期'!I25),'合同排期'!M25/('合同排期'!I25-'合同排期'!H25+1),0)</x:f>
        <x:v>0</x:v>
      </x:c>
    </x:row>
    <x:row r="184" ht="23" customHeight="1">
      <x:c r="A184" s="1"/>
      <x:c r="B184" s="1"/>
      <x:c r="C184" s="1" t="str">
        <x:v>N02</x:v>
      </x:c>
      <x:c r="D184" s="1" t="str">
        <x:v>生效ARR</x:v>
      </x:c>
      <x:c r="E184" s="8" t="n">
        <x:f>IF(AND(1&gt;='合同排期'!J25,1&lt;'合同排期'!J25+12),'合同排期'!L25,0)</x:f>
        <x:v>0</x:v>
      </x:c>
      <x:c r="F184" s="8" t="n">
        <x:f>IF(AND(2&gt;='合同排期'!J25,2&lt;'合同排期'!J25+12),'合同排期'!L25,0)</x:f>
        <x:v>0</x:v>
      </x:c>
      <x:c r="G184" s="8" t="n">
        <x:f>IF(AND(3&gt;='合同排期'!J25,3&lt;'合同排期'!J25+12),'合同排期'!L25,0)</x:f>
        <x:v>0</x:v>
      </x:c>
      <x:c r="H184" s="8" t="n">
        <x:f>IF(AND(4&gt;='合同排期'!J25,4&lt;'合同排期'!J25+12),'合同排期'!L25,0)</x:f>
        <x:v>0</x:v>
      </x:c>
      <x:c r="I184" s="8" t="n">
        <x:f>IF(AND(5&gt;='合同排期'!J25,5&lt;'合同排期'!J25+12),'合同排期'!L25,0)</x:f>
        <x:v>0</x:v>
      </x:c>
      <x:c r="J184" s="8" t="n">
        <x:f>IF(AND(6&gt;='合同排期'!J25,6&lt;'合同排期'!J25+12),'合同排期'!L25,0)</x:f>
        <x:v>0</x:v>
      </x:c>
      <x:c r="K184" s="8" t="n">
        <x:f>IF(AND(7&gt;='合同排期'!J25,7&lt;'合同排期'!J25+12),'合同排期'!L25,0)</x:f>
        <x:v>0</x:v>
      </x:c>
      <x:c r="L184" s="8" t="n">
        <x:f>IF(AND(8&gt;='合同排期'!J25,8&lt;'合同排期'!J25+12),'合同排期'!L25,0)</x:f>
        <x:v>0</x:v>
      </x:c>
      <x:c r="M184" s="8" t="n">
        <x:f>IF(AND(9&gt;='合同排期'!J25,9&lt;'合同排期'!J25+12),'合同排期'!L25,0)</x:f>
        <x:v>0</x:v>
      </x:c>
      <x:c r="N184" s="8" t="n">
        <x:f>IF(AND(10&gt;='合同排期'!J25,10&lt;'合同排期'!J25+12),'合同排期'!L25,0)</x:f>
        <x:v>0</x:v>
      </x:c>
      <x:c r="O184" s="8" t="n">
        <x:f>IF(AND(11&gt;='合同排期'!J25,11&lt;'合同排期'!J25+12),'合同排期'!L25,0)</x:f>
        <x:v>0</x:v>
      </x:c>
      <x:c r="P184" s="8" t="n">
        <x:f>IF(AND(12&gt;='合同排期'!J25,12&lt;'合同排期'!J25+12),'合同排期'!L25,0)</x:f>
        <x:v>0</x:v>
      </x:c>
      <x:c r="Q184" s="8" t="n">
        <x:f>IF(AND(13&gt;='合同排期'!J25,13&lt;'合同排期'!J25+12),'合同排期'!L25,0)</x:f>
        <x:v>0</x:v>
      </x:c>
      <x:c r="R184" s="8" t="n">
        <x:f>IF(AND(14&gt;='合同排期'!J25,14&lt;'合同排期'!J25+12),'合同排期'!L25,0)</x:f>
        <x:v>0</x:v>
      </x:c>
      <x:c r="S184" s="8" t="n">
        <x:f>IF(AND(15&gt;='合同排期'!J25,15&lt;'合同排期'!J25+12),'合同排期'!L25,0)</x:f>
        <x:v>0</x:v>
      </x:c>
      <x:c r="T184" s="8" t="n">
        <x:f>IF(AND(16&gt;='合同排期'!J25,16&lt;'合同排期'!J25+12),'合同排期'!L25,0)</x:f>
        <x:v>0</x:v>
      </x:c>
      <x:c r="U184" s="8" t="n">
        <x:f>IF(AND(17&gt;='合同排期'!J25,17&lt;'合同排期'!J25+12),'合同排期'!L25,0)</x:f>
        <x:v>0</x:v>
      </x:c>
      <x:c r="V184" s="8" t="n">
        <x:f>IF(AND(18&gt;='合同排期'!J25,18&lt;'合同排期'!J25+12),'合同排期'!L25,0)</x:f>
        <x:v>0</x:v>
      </x:c>
      <x:c r="W184" s="8" t="n">
        <x:f>IF(AND(19&gt;='合同排期'!J25,19&lt;'合同排期'!J25+12),'合同排期'!L25,0)</x:f>
        <x:v>0</x:v>
      </x:c>
      <x:c r="X184" s="8" t="n">
        <x:f>IF(AND(20&gt;='合同排期'!J25,20&lt;'合同排期'!J25+12),'合同排期'!L25,0)</x:f>
        <x:v>0</x:v>
      </x:c>
      <x:c r="Y184" s="8" t="n">
        <x:f>IF(AND(21&gt;='合同排期'!J25,21&lt;'合同排期'!J25+12),'合同排期'!L25,0)</x:f>
        <x:v>0</x:v>
      </x:c>
      <x:c r="Z184" s="8" t="n">
        <x:f>IF(AND(22&gt;='合同排期'!J25,22&lt;'合同排期'!J25+12),'合同排期'!L25,0)</x:f>
        <x:v>0</x:v>
      </x:c>
      <x:c r="AA184" s="8" t="n">
        <x:f>IF(AND(23&gt;='合同排期'!J25,23&lt;'合同排期'!J25+12),'合同排期'!L25,0)</x:f>
        <x:v>0</x:v>
      </x:c>
      <x:c r="AB184" s="8" t="n">
        <x:f>IF(AND(24&gt;='合同排期'!J25,24&lt;'合同排期'!J25+12),'合同排期'!L25,0)</x:f>
        <x:v>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31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</x:row>
    <x:row r="2" ht="23" customHeight="1">
      <x:c r="A2" s="1"/>
      <x:c r="B2" s="1"/>
      <x:c r="C2" s="3" t="str">
        <x:v>布比中东 费用预算（金额：万美元）</x:v>
      </x:c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</x:row>
    <x:row r="3" ht="23" customHeight="1">
      <x:c r="A3" s="1"/>
      <x:c r="B3" s="1"/>
      <x:c r="C3" s="1" t="str">
        <x:v>情景</x:v>
      </x:c>
      <x:c r="D3" s="8" t="str">
        <x:f>CHOOSE('假设'!D4,"谨慎进入","资源到位目标","突破目标")</x:f>
        <x:v>资源到位目标</x:v>
      </x:c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</x:row>
    <x:row r="5" ht="32" customHeight="1">
      <x:c r="A5" s="1"/>
      <x:c r="B5" s="1"/>
      <x:c r="C5" s="6" t="str">
        <x:v>岗位/费用</x:v>
      </x:c>
      <x:c r="D5" s="6" t="str">
        <x:v>币种</x:v>
      </x:c>
      <x:c r="E5" s="6" t="str">
        <x:v>固定月薪</x:v>
      </x:c>
      <x:c r="F5" s="6" t="str">
        <x:v>开始月</x:v>
      </x:c>
      <x:c r="G5" s="6" t="str">
        <x:v>结束月</x:v>
      </x:c>
      <x:c r="H5" s="6" t="str">
        <x:v>FTE</x:v>
      </x:c>
      <x:c r="I5" s="6" t="str">
        <x:v>雇主系数</x:v>
      </x:c>
      <x:c r="J5" s="6" t="str">
        <x:v>折算月成本</x:v>
      </x:c>
      <x:c r="K5" s="6" t="str">
        <x:v>Y1合计</x:v>
      </x:c>
      <x:c r="L5" s="6" t="str">
        <x:v>M1</x:v>
      </x:c>
      <x:c r="M5" s="6" t="str">
        <x:v>M2</x:v>
      </x:c>
      <x:c r="N5" s="6" t="str">
        <x:v>M3</x:v>
      </x:c>
      <x:c r="O5" s="6" t="str">
        <x:v>M4</x:v>
      </x:c>
      <x:c r="P5" s="6" t="str">
        <x:v>M5</x:v>
      </x:c>
      <x:c r="Q5" s="6" t="str">
        <x:v>M6</x:v>
      </x:c>
      <x:c r="R5" s="6" t="str">
        <x:v>M7</x:v>
      </x:c>
      <x:c r="S5" s="6" t="str">
        <x:v>M8</x:v>
      </x:c>
      <x:c r="T5" s="6" t="str">
        <x:v>M9</x:v>
      </x:c>
      <x:c r="U5" s="6" t="str">
        <x:v>M10</x:v>
      </x:c>
      <x:c r="V5" s="6" t="str">
        <x:v>M11</x:v>
      </x:c>
      <x:c r="W5" s="6" t="str">
        <x:v>M12</x:v>
      </x:c>
    </x:row>
    <x:row r="6" ht="23" customHeight="1">
      <x:c r="A6" s="1"/>
      <x:c r="B6" s="1"/>
      <x:c r="C6" s="1" t="str">
        <x:v>国家经理</x:v>
      </x:c>
      <x:c r="D6" s="1" t="str">
        <x:v>USD</x:v>
      </x:c>
      <x:c r="E6" s="10" t="n">
        <x:v>20000</x:v>
      </x:c>
      <x:c r="F6" s="10" t="n">
        <x:v>1</x:v>
      </x:c>
      <x:c r="G6" s="10" t="n">
        <x:v>12</x:v>
      </x:c>
      <x:c r="H6" s="10" t="n">
        <x:v>1</x:v>
      </x:c>
      <x:c r="I6" s="10" t="n">
        <x:v>1</x:v>
      </x:c>
      <x:c r="J6" s="8" t="n">
        <x:f>E6/IF(D6="USD",1,IF(D6="AED",'假设'!D67,'假设'!D72))/10000*H6*I6*IF(D6="USD",1,'假设'!D77)*'假设'!D32</x:f>
        <x:v>2</x:v>
      </x:c>
      <x:c r="K6" s="2" t="n">
        <x:f>SUM(L6:W6)</x:f>
        <x:v>24</x:v>
      </x:c>
      <x:c r="L6" s="2" t="n">
        <x:f>IF(AND(1&gt;=F6,1&lt;=G6),J6,0)</x:f>
        <x:v>2</x:v>
      </x:c>
      <x:c r="M6" s="2" t="n">
        <x:f>IF(AND(2&gt;=F6,2&lt;=G6),J6,0)</x:f>
        <x:v>2</x:v>
      </x:c>
      <x:c r="N6" s="2" t="n">
        <x:f>IF(AND(3&gt;=F6,3&lt;=G6),J6,0)</x:f>
        <x:v>2</x:v>
      </x:c>
      <x:c r="O6" s="2" t="n">
        <x:f>IF(AND(4&gt;=F6,4&lt;=G6),J6,0)</x:f>
        <x:v>2</x:v>
      </x:c>
      <x:c r="P6" s="2" t="n">
        <x:f>IF(AND(5&gt;=F6,5&lt;=G6),J6,0)</x:f>
        <x:v>2</x:v>
      </x:c>
      <x:c r="Q6" s="2" t="n">
        <x:f>IF(AND(6&gt;=F6,6&lt;=G6),J6,0)</x:f>
        <x:v>2</x:v>
      </x:c>
      <x:c r="R6" s="2" t="n">
        <x:f>IF(AND(7&gt;=F6,7&lt;=G6),J6,0)</x:f>
        <x:v>2</x:v>
      </x:c>
      <x:c r="S6" s="2" t="n">
        <x:f>IF(AND(8&gt;=F6,8&lt;=G6),J6,0)</x:f>
        <x:v>2</x:v>
      </x:c>
      <x:c r="T6" s="2" t="n">
        <x:f>IF(AND(9&gt;=F6,9&lt;=G6),J6,0)</x:f>
        <x:v>2</x:v>
      </x:c>
      <x:c r="U6" s="2" t="n">
        <x:f>IF(AND(10&gt;=F6,10&lt;=G6),J6,0)</x:f>
        <x:v>2</x:v>
      </x:c>
      <x:c r="V6" s="2" t="n">
        <x:f>IF(AND(11&gt;=F6,11&lt;=G6),J6,0)</x:f>
        <x:v>2</x:v>
      </x:c>
      <x:c r="W6" s="2" t="n">
        <x:f>IF(AND(12&gt;=F6,12&lt;=G6),J6,0)</x:f>
        <x:v>2</x:v>
      </x:c>
    </x:row>
    <x:row r="7" ht="23" customHeight="1">
      <x:c r="A7" s="1"/>
      <x:c r="B7" s="1"/>
      <x:c r="C7" s="1" t="str">
        <x:v>UAE商务</x:v>
      </x:c>
      <x:c r="D7" s="1" t="str">
        <x:v>AED</x:v>
      </x:c>
      <x:c r="E7" s="10" t="n">
        <x:v>27500</x:v>
      </x:c>
      <x:c r="F7" s="10" t="n">
        <x:v>2</x:v>
      </x:c>
      <x:c r="G7" s="10" t="n">
        <x:v>12</x:v>
      </x:c>
      <x:c r="H7" s="10" t="n">
        <x:v>1</x:v>
      </x:c>
      <x:c r="I7" s="10" t="n">
        <x:v>1.18</x:v>
      </x:c>
      <x:c r="J7" s="8" t="n">
        <x:f>E7/IF(D7="USD",1,IF(D7="AED",'假设'!D67,'假设'!D72))/10000*H7*I7*IF(D7="USD",1,'假设'!D77)*'假设'!D32</x:f>
        <x:v>0.9277739959155887</x:v>
      </x:c>
      <x:c r="K7" s="2" t="n">
        <x:f>SUM(L7:W7)</x:f>
        <x:v>10.205513955071474</x:v>
      </x:c>
      <x:c r="L7" s="2" t="n">
        <x:f>IF(AND(1&gt;=F7,1&lt;=G7),J7,0)</x:f>
        <x:v>0</x:v>
      </x:c>
      <x:c r="M7" s="2" t="n">
        <x:f>IF(AND(2&gt;=F7,2&lt;=G7),J7,0)</x:f>
        <x:v>0.9277739959155887</x:v>
      </x:c>
      <x:c r="N7" s="2" t="n">
        <x:f>IF(AND(3&gt;=F7,3&lt;=G7),J7,0)</x:f>
        <x:v>0.9277739959155887</x:v>
      </x:c>
      <x:c r="O7" s="2" t="n">
        <x:f>IF(AND(4&gt;=F7,4&lt;=G7),J7,0)</x:f>
        <x:v>0.9277739959155887</x:v>
      </x:c>
      <x:c r="P7" s="2" t="n">
        <x:f>IF(AND(5&gt;=F7,5&lt;=G7),J7,0)</x:f>
        <x:v>0.9277739959155887</x:v>
      </x:c>
      <x:c r="Q7" s="2" t="n">
        <x:f>IF(AND(6&gt;=F7,6&lt;=G7),J7,0)</x:f>
        <x:v>0.9277739959155887</x:v>
      </x:c>
      <x:c r="R7" s="2" t="n">
        <x:f>IF(AND(7&gt;=F7,7&lt;=G7),J7,0)</x:f>
        <x:v>0.9277739959155887</x:v>
      </x:c>
      <x:c r="S7" s="2" t="n">
        <x:f>IF(AND(8&gt;=F7,8&lt;=G7),J7,0)</x:f>
        <x:v>0.9277739959155887</x:v>
      </x:c>
      <x:c r="T7" s="2" t="n">
        <x:f>IF(AND(9&gt;=F7,9&lt;=G7),J7,0)</x:f>
        <x:v>0.9277739959155887</x:v>
      </x:c>
      <x:c r="U7" s="2" t="n">
        <x:f>IF(AND(10&gt;=F7,10&lt;=G7),J7,0)</x:f>
        <x:v>0.9277739959155887</x:v>
      </x:c>
      <x:c r="V7" s="2" t="n">
        <x:f>IF(AND(11&gt;=F7,11&lt;=G7),J7,0)</x:f>
        <x:v>0.9277739959155887</x:v>
      </x:c>
      <x:c r="W7" s="2" t="n">
        <x:f>IF(AND(12&gt;=F7,12&lt;=G7),J7,0)</x:f>
        <x:v>0.9277739959155887</x:v>
      </x:c>
    </x:row>
    <x:row r="8" ht="23" customHeight="1">
      <x:c r="A8" s="1"/>
      <x:c r="B8" s="1"/>
      <x:c r="C8" s="1" t="str">
        <x:v>沙特商务</x:v>
      </x:c>
      <x:c r="D8" s="1" t="str">
        <x:v>SAR</x:v>
      </x:c>
      <x:c r="E8" s="10" t="n">
        <x:v>30000</x:v>
      </x:c>
      <x:c r="F8" s="10" t="n">
        <x:v>3</x:v>
      </x:c>
      <x:c r="G8" s="10" t="n">
        <x:v>12</x:v>
      </x:c>
      <x:c r="H8" s="10" t="n">
        <x:v>1</x:v>
      </x:c>
      <x:c r="I8" s="10" t="n">
        <x:v>1.2</x:v>
      </x:c>
      <x:c r="J8" s="8" t="n">
        <x:f>E8/IF(D8="USD",1,IF(D8="AED",'假设'!D67,'假设'!D72))/10000*H8*I8*IF(D8="USD",1,'假设'!D77)*'假设'!D32</x:f>
        <x:v>1.008</x:v>
      </x:c>
      <x:c r="K8" s="2" t="n">
        <x:f>SUM(L8:W8)</x:f>
        <x:v>10.079999999999998</x:v>
      </x:c>
      <x:c r="L8" s="2" t="n">
        <x:f>IF(AND(1&gt;=F8,1&lt;=G8),J8,0)</x:f>
        <x:v>0</x:v>
      </x:c>
      <x:c r="M8" s="2" t="n">
        <x:f>IF(AND(2&gt;=F8,2&lt;=G8),J8,0)</x:f>
        <x:v>0</x:v>
      </x:c>
      <x:c r="N8" s="2" t="n">
        <x:f>IF(AND(3&gt;=F8,3&lt;=G8),J8,0)</x:f>
        <x:v>1.008</x:v>
      </x:c>
      <x:c r="O8" s="2" t="n">
        <x:f>IF(AND(4&gt;=F8,4&lt;=G8),J8,0)</x:f>
        <x:v>1.008</x:v>
      </x:c>
      <x:c r="P8" s="2" t="n">
        <x:f>IF(AND(5&gt;=F8,5&lt;=G8),J8,0)</x:f>
        <x:v>1.008</x:v>
      </x:c>
      <x:c r="Q8" s="2" t="n">
        <x:f>IF(AND(6&gt;=F8,6&lt;=G8),J8,0)</x:f>
        <x:v>1.008</x:v>
      </x:c>
      <x:c r="R8" s="2" t="n">
        <x:f>IF(AND(7&gt;=F8,7&lt;=G8),J8,0)</x:f>
        <x:v>1.008</x:v>
      </x:c>
      <x:c r="S8" s="2" t="n">
        <x:f>IF(AND(8&gt;=F8,8&lt;=G8),J8,0)</x:f>
        <x:v>1.008</x:v>
      </x:c>
      <x:c r="T8" s="2" t="n">
        <x:f>IF(AND(9&gt;=F8,9&lt;=G8),J8,0)</x:f>
        <x:v>1.008</x:v>
      </x:c>
      <x:c r="U8" s="2" t="n">
        <x:f>IF(AND(10&gt;=F8,10&lt;=G8),J8,0)</x:f>
        <x:v>1.008</x:v>
      </x:c>
      <x:c r="V8" s="2" t="n">
        <x:f>IF(AND(11&gt;=F8,11&lt;=G8),J8,0)</x:f>
        <x:v>1.008</x:v>
      </x:c>
      <x:c r="W8" s="2" t="n">
        <x:f>IF(AND(12&gt;=F8,12&lt;=G8),J8,0)</x:f>
        <x:v>1.008</x:v>
      </x:c>
    </x:row>
    <x:row r="9" ht="23" customHeight="1">
      <x:c r="A9" s="1"/>
      <x:c r="B9" s="1"/>
      <x:c r="C9" s="1" t="str">
        <x:v>方案架构师</x:v>
      </x:c>
      <x:c r="D9" s="1" t="str">
        <x:v>AED</x:v>
      </x:c>
      <x:c r="E9" s="10" t="n">
        <x:v>42500</x:v>
      </x:c>
      <x:c r="F9" s="10" t="n">
        <x:v>2</x:v>
      </x:c>
      <x:c r="G9" s="10" t="n">
        <x:v>12</x:v>
      </x:c>
      <x:c r="H9" s="10" t="n">
        <x:v>1</x:v>
      </x:c>
      <x:c r="I9" s="10" t="n">
        <x:v>1.18</x:v>
      </x:c>
      <x:c r="J9" s="8" t="n">
        <x:f>E9/IF(D9="USD",1,IF(D9="AED",'假设'!D67,'假设'!D72))/10000*H9*I9*IF(D9="USD",1,'假设'!D77)*'假设'!D32</x:f>
        <x:v>1.4338325391422735</x:v>
      </x:c>
      <x:c r="K9" s="2" t="n">
        <x:f>SUM(L9:W9)</x:f>
        <x:v>15.772157930565005</x:v>
      </x:c>
      <x:c r="L9" s="2" t="n">
        <x:f>IF(AND(1&gt;=F9,1&lt;=G9),J9,0)</x:f>
        <x:v>0</x:v>
      </x:c>
      <x:c r="M9" s="2" t="n">
        <x:f>IF(AND(2&gt;=F9,2&lt;=G9),J9,0)</x:f>
        <x:v>1.4338325391422735</x:v>
      </x:c>
      <x:c r="N9" s="2" t="n">
        <x:f>IF(AND(3&gt;=F9,3&lt;=G9),J9,0)</x:f>
        <x:v>1.4338325391422735</x:v>
      </x:c>
      <x:c r="O9" s="2" t="n">
        <x:f>IF(AND(4&gt;=F9,4&lt;=G9),J9,0)</x:f>
        <x:v>1.4338325391422735</x:v>
      </x:c>
      <x:c r="P9" s="2" t="n">
        <x:f>IF(AND(5&gt;=F9,5&lt;=G9),J9,0)</x:f>
        <x:v>1.4338325391422735</x:v>
      </x:c>
      <x:c r="Q9" s="2" t="n">
        <x:f>IF(AND(6&gt;=F9,6&lt;=G9),J9,0)</x:f>
        <x:v>1.4338325391422735</x:v>
      </x:c>
      <x:c r="R9" s="2" t="n">
        <x:f>IF(AND(7&gt;=F9,7&lt;=G9),J9,0)</x:f>
        <x:v>1.4338325391422735</x:v>
      </x:c>
      <x:c r="S9" s="2" t="n">
        <x:f>IF(AND(8&gt;=F9,8&lt;=G9),J9,0)</x:f>
        <x:v>1.4338325391422735</x:v>
      </x:c>
      <x:c r="T9" s="2" t="n">
        <x:f>IF(AND(9&gt;=F9,9&lt;=G9),J9,0)</x:f>
        <x:v>1.4338325391422735</x:v>
      </x:c>
      <x:c r="U9" s="2" t="n">
        <x:f>IF(AND(10&gt;=F9,10&lt;=G9),J9,0)</x:f>
        <x:v>1.4338325391422735</x:v>
      </x:c>
      <x:c r="V9" s="2" t="n">
        <x:f>IF(AND(11&gt;=F9,11&lt;=G9),J9,0)</x:f>
        <x:v>1.4338325391422735</x:v>
      </x:c>
      <x:c r="W9" s="2" t="n">
        <x:f>IF(AND(12&gt;=F9,12&lt;=G9),J9,0)</x:f>
        <x:v>1.4338325391422735</x:v>
      </x:c>
    </x:row>
    <x:row r="10" ht="23" customHeight="1">
      <x:c r="A10" s="1"/>
      <x:c r="B10" s="1"/>
      <x:c r="C10" s="1" t="str">
        <x:v>交付经理</x:v>
      </x:c>
      <x:c r="D10" s="1" t="str">
        <x:v>AED</x:v>
      </x:c>
      <x:c r="E10" s="10" t="n">
        <x:v>35000</x:v>
      </x:c>
      <x:c r="F10" s="10" t="n">
        <x:v>4</x:v>
      </x:c>
      <x:c r="G10" s="10" t="n">
        <x:v>12</x:v>
      </x:c>
      <x:c r="H10" s="10" t="n">
        <x:v>1</x:v>
      </x:c>
      <x:c r="I10" s="10" t="n">
        <x:v>1.18</x:v>
      </x:c>
      <x:c r="J10" s="8" t="n">
        <x:f>E10/IF(D10="USD",1,IF(D10="AED",'假设'!D67,'假设'!D72))/10000*H10*I10*IF(D10="USD",1,'假设'!D77)*'假设'!D32</x:f>
        <x:v>1.1808032675289315</x:v>
      </x:c>
      <x:c r="K10" s="2" t="n">
        <x:f>SUM(L10:W10)</x:f>
        <x:v>10.627229407760383</x:v>
      </x:c>
      <x:c r="L10" s="2" t="n">
        <x:f>IF(AND(1&gt;=F10,1&lt;=G10),J10,0)</x:f>
        <x:v>0</x:v>
      </x:c>
      <x:c r="M10" s="2" t="n">
        <x:f>IF(AND(2&gt;=F10,2&lt;=G10),J10,0)</x:f>
        <x:v>0</x:v>
      </x:c>
      <x:c r="N10" s="2" t="n">
        <x:f>IF(AND(3&gt;=F10,3&lt;=G10),J10,0)</x:f>
        <x:v>0</x:v>
      </x:c>
      <x:c r="O10" s="2" t="n">
        <x:f>IF(AND(4&gt;=F10,4&lt;=G10),J10,0)</x:f>
        <x:v>1.1808032675289315</x:v>
      </x:c>
      <x:c r="P10" s="2" t="n">
        <x:f>IF(AND(5&gt;=F10,5&lt;=G10),J10,0)</x:f>
        <x:v>1.1808032675289315</x:v>
      </x:c>
      <x:c r="Q10" s="2" t="n">
        <x:f>IF(AND(6&gt;=F10,6&lt;=G10),J10,0)</x:f>
        <x:v>1.1808032675289315</x:v>
      </x:c>
      <x:c r="R10" s="2" t="n">
        <x:f>IF(AND(7&gt;=F10,7&lt;=G10),J10,0)</x:f>
        <x:v>1.1808032675289315</x:v>
      </x:c>
      <x:c r="S10" s="2" t="n">
        <x:f>IF(AND(8&gt;=F10,8&lt;=G10),J10,0)</x:f>
        <x:v>1.1808032675289315</x:v>
      </x:c>
      <x:c r="T10" s="2" t="n">
        <x:f>IF(AND(9&gt;=F10,9&lt;=G10),J10,0)</x:f>
        <x:v>1.1808032675289315</x:v>
      </x:c>
      <x:c r="U10" s="2" t="n">
        <x:f>IF(AND(10&gt;=F10,10&lt;=G10),J10,0)</x:f>
        <x:v>1.1808032675289315</x:v>
      </x:c>
      <x:c r="V10" s="2" t="n">
        <x:f>IF(AND(11&gt;=F10,11&lt;=G10),J10,0)</x:f>
        <x:v>1.1808032675289315</x:v>
      </x:c>
      <x:c r="W10" s="2" t="n">
        <x:f>IF(AND(12&gt;=F10,12&lt;=G10),J10,0)</x:f>
        <x:v>1.1808032675289315</x:v>
      </x:c>
    </x:row>
    <x:row r="11" ht="23" customHeight="1">
      <x:c r="A11" s="1"/>
      <x:c r="B11" s="1"/>
      <x:c r="C11" s="1" t="str">
        <x:v>运营行政</x:v>
      </x:c>
      <x:c r="D11" s="1" t="str">
        <x:v>AED</x:v>
      </x:c>
      <x:c r="E11" s="10" t="n">
        <x:v>15000</x:v>
      </x:c>
      <x:c r="F11" s="10" t="n">
        <x:v>1</x:v>
      </x:c>
      <x:c r="G11" s="10" t="n">
        <x:v>12</x:v>
      </x:c>
      <x:c r="H11" s="10" t="n">
        <x:v>0.5</x:v>
      </x:c>
      <x:c r="I11" s="10" t="n">
        <x:v>1.18</x:v>
      </x:c>
      <x:c r="J11" s="8" t="n">
        <x:f>E11/IF(D11="USD",1,IF(D11="AED",'假设'!D67,'假设'!D72))/10000*H11*I11*IF(D11="USD",1,'假设'!D77)*'假设'!D32</x:f>
        <x:v>0.2530292716133424</x:v>
      </x:c>
      <x:c r="K11" s="2" t="n">
        <x:f>SUM(L11:W11)</x:f>
        <x:v>3.036351259360108</x:v>
      </x:c>
      <x:c r="L11" s="2" t="n">
        <x:f>IF(AND(1&gt;=F11,1&lt;=G11),J11,0)</x:f>
        <x:v>0.2530292716133424</x:v>
      </x:c>
      <x:c r="M11" s="2" t="n">
        <x:f>IF(AND(2&gt;=F11,2&lt;=G11),J11,0)</x:f>
        <x:v>0.2530292716133424</x:v>
      </x:c>
      <x:c r="N11" s="2" t="n">
        <x:f>IF(AND(3&gt;=F11,3&lt;=G11),J11,0)</x:f>
        <x:v>0.2530292716133424</x:v>
      </x:c>
      <x:c r="O11" s="2" t="n">
        <x:f>IF(AND(4&gt;=F11,4&lt;=G11),J11,0)</x:f>
        <x:v>0.2530292716133424</x:v>
      </x:c>
      <x:c r="P11" s="2" t="n">
        <x:f>IF(AND(5&gt;=F11,5&lt;=G11),J11,0)</x:f>
        <x:v>0.2530292716133424</x:v>
      </x:c>
      <x:c r="Q11" s="2" t="n">
        <x:f>IF(AND(6&gt;=F11,6&lt;=G11),J11,0)</x:f>
        <x:v>0.2530292716133424</x:v>
      </x:c>
      <x:c r="R11" s="2" t="n">
        <x:f>IF(AND(7&gt;=F11,7&lt;=G11),J11,0)</x:f>
        <x:v>0.2530292716133424</x:v>
      </x:c>
      <x:c r="S11" s="2" t="n">
        <x:f>IF(AND(8&gt;=F11,8&lt;=G11),J11,0)</x:f>
        <x:v>0.2530292716133424</x:v>
      </x:c>
      <x:c r="T11" s="2" t="n">
        <x:f>IF(AND(9&gt;=F11,9&lt;=G11),J11,0)</x:f>
        <x:v>0.2530292716133424</x:v>
      </x:c>
      <x:c r="U11" s="2" t="n">
        <x:f>IF(AND(10&gt;=F11,10&lt;=G11),J11,0)</x:f>
        <x:v>0.2530292716133424</x:v>
      </x:c>
      <x:c r="V11" s="2" t="n">
        <x:f>IF(AND(11&gt;=F11,11&lt;=G11),J11,0)</x:f>
        <x:v>0.2530292716133424</x:v>
      </x:c>
      <x:c r="W11" s="2" t="n">
        <x:f>IF(AND(12&gt;=F11,12&lt;=G11),J11,0)</x:f>
        <x:v>0.2530292716133424</x:v>
      </x:c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</x:row>
    <x:row r="14" ht="23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</x:row>
    <x:row r="15" ht="23" customHeight="1">
      <x:c r="A15" s="1"/>
      <x:c r="B15" s="1"/>
      <x:c r="C15" s="1" t="str">
        <x:v>两国设立与初始法律</x:v>
      </x:c>
      <x:c r="D15" s="1" t="str">
        <x:v>USD万元</x:v>
      </x:c>
      <x:c r="E15" s="10" t="n">
        <x:v>10</x:v>
      </x:c>
      <x:c r="F15" s="10" t="n">
        <x:v>1</x:v>
      </x:c>
      <x:c r="G15" s="10" t="n">
        <x:v>2</x:v>
      </x:c>
      <x:c r="H15" s="1"/>
      <x:c r="I15" s="1"/>
      <x:c r="J15" s="8" t="n">
        <x:f>E15/(G15-F15+1)*'假设'!D32</x:f>
        <x:v>5</x:v>
      </x:c>
      <x:c r="K15" s="2" t="n">
        <x:f>SUM(L15:W15)</x:f>
        <x:v>10</x:v>
      </x:c>
      <x:c r="L15" s="2" t="n">
        <x:f>IF(AND(1&gt;=F15,1&lt;=G15),J15,0)</x:f>
        <x:v>5</x:v>
      </x:c>
      <x:c r="M15" s="2" t="n">
        <x:f>IF(AND(2&gt;=F15,2&lt;=G15),J15,0)</x:f>
        <x:v>5</x:v>
      </x:c>
      <x:c r="N15" s="2" t="n">
        <x:f>IF(AND(3&gt;=F15,3&lt;=G15),J15,0)</x:f>
        <x:v>0</x:v>
      </x:c>
      <x:c r="O15" s="2" t="n">
        <x:f>IF(AND(4&gt;=F15,4&lt;=G15),J15,0)</x:f>
        <x:v>0</x:v>
      </x:c>
      <x:c r="P15" s="2" t="n">
        <x:f>IF(AND(5&gt;=F15,5&lt;=G15),J15,0)</x:f>
        <x:v>0</x:v>
      </x:c>
      <x:c r="Q15" s="2" t="n">
        <x:f>IF(AND(6&gt;=F15,6&lt;=G15),J15,0)</x:f>
        <x:v>0</x:v>
      </x:c>
      <x:c r="R15" s="2" t="n">
        <x:f>IF(AND(7&gt;=F15,7&lt;=G15),J15,0)</x:f>
        <x:v>0</x:v>
      </x:c>
      <x:c r="S15" s="2" t="n">
        <x:f>IF(AND(8&gt;=F15,8&lt;=G15),J15,0)</x:f>
        <x:v>0</x:v>
      </x:c>
      <x:c r="T15" s="2" t="n">
        <x:f>IF(AND(9&gt;=F15,9&lt;=G15),J15,0)</x:f>
        <x:v>0</x:v>
      </x:c>
      <x:c r="U15" s="2" t="n">
        <x:f>IF(AND(10&gt;=F15,10&lt;=G15),J15,0)</x:f>
        <x:v>0</x:v>
      </x:c>
      <x:c r="V15" s="2" t="n">
        <x:f>IF(AND(11&gt;=F15,11&lt;=G15),J15,0)</x:f>
        <x:v>0</x:v>
      </x:c>
      <x:c r="W15" s="2" t="n">
        <x:f>IF(AND(12&gt;=F15,12&lt;=G15),J15,0)</x:f>
        <x:v>0</x:v>
      </x:c>
    </x:row>
    <x:row r="16" ht="23" customHeight="1">
      <x:c r="A16" s="1"/>
      <x:c r="B16" s="1"/>
      <x:c r="C16" s="1" t="str">
        <x:v>会计法律保险持续费用</x:v>
      </x:c>
      <x:c r="D16" s="1" t="str">
        <x:v>USD万元</x:v>
      </x:c>
      <x:c r="E16" s="10" t="n">
        <x:v>8</x:v>
      </x:c>
      <x:c r="F16" s="10" t="n">
        <x:v>1</x:v>
      </x:c>
      <x:c r="G16" s="10" t="n">
        <x:v>12</x:v>
      </x:c>
      <x:c r="H16" s="1"/>
      <x:c r="I16" s="1"/>
      <x:c r="J16" s="8" t="n">
        <x:f>E16/(G16-F16+1)*'假设'!D32</x:f>
        <x:v>0.6666666666666666</x:v>
      </x:c>
      <x:c r="K16" s="2" t="n">
        <x:f>SUM(L16:W16)</x:f>
        <x:v>8</x:v>
      </x:c>
      <x:c r="L16" s="2" t="n">
        <x:f>IF(AND(1&gt;=F16,1&lt;=G16),J16,0)</x:f>
        <x:v>0.6666666666666666</x:v>
      </x:c>
      <x:c r="M16" s="2" t="n">
        <x:f>IF(AND(2&gt;=F16,2&lt;=G16),J16,0)</x:f>
        <x:v>0.6666666666666666</x:v>
      </x:c>
      <x:c r="N16" s="2" t="n">
        <x:f>IF(AND(3&gt;=F16,3&lt;=G16),J16,0)</x:f>
        <x:v>0.6666666666666666</x:v>
      </x:c>
      <x:c r="O16" s="2" t="n">
        <x:f>IF(AND(4&gt;=F16,4&lt;=G16),J16,0)</x:f>
        <x:v>0.6666666666666666</x:v>
      </x:c>
      <x:c r="P16" s="2" t="n">
        <x:f>IF(AND(5&gt;=F16,5&lt;=G16),J16,0)</x:f>
        <x:v>0.6666666666666666</x:v>
      </x:c>
      <x:c r="Q16" s="2" t="n">
        <x:f>IF(AND(6&gt;=F16,6&lt;=G16),J16,0)</x:f>
        <x:v>0.6666666666666666</x:v>
      </x:c>
      <x:c r="R16" s="2" t="n">
        <x:f>IF(AND(7&gt;=F16,7&lt;=G16),J16,0)</x:f>
        <x:v>0.6666666666666666</x:v>
      </x:c>
      <x:c r="S16" s="2" t="n">
        <x:f>IF(AND(8&gt;=F16,8&lt;=G16),J16,0)</x:f>
        <x:v>0.6666666666666666</x:v>
      </x:c>
      <x:c r="T16" s="2" t="n">
        <x:f>IF(AND(9&gt;=F16,9&lt;=G16),J16,0)</x:f>
        <x:v>0.6666666666666666</x:v>
      </x:c>
      <x:c r="U16" s="2" t="n">
        <x:f>IF(AND(10&gt;=F16,10&lt;=G16),J16,0)</x:f>
        <x:v>0.6666666666666666</x:v>
      </x:c>
      <x:c r="V16" s="2" t="n">
        <x:f>IF(AND(11&gt;=F16,11&lt;=G16),J16,0)</x:f>
        <x:v>0.6666666666666666</x:v>
      </x:c>
      <x:c r="W16" s="2" t="n">
        <x:f>IF(AND(12&gt;=F16,12&lt;=G16),J16,0)</x:f>
        <x:v>0.6666666666666666</x:v>
      </x:c>
    </x:row>
    <x:row r="17" ht="23" customHeight="1">
      <x:c r="A17" s="1"/>
      <x:c r="B17" s="1"/>
      <x:c r="C17" s="1" t="str">
        <x:v>办公与工具</x:v>
      </x:c>
      <x:c r="D17" s="1" t="str">
        <x:v>USD万元</x:v>
      </x:c>
      <x:c r="E17" s="10" t="n">
        <x:v>7.2</x:v>
      </x:c>
      <x:c r="F17" s="10" t="n">
        <x:v>1</x:v>
      </x:c>
      <x:c r="G17" s="10" t="n">
        <x:v>12</x:v>
      </x:c>
      <x:c r="H17" s="1"/>
      <x:c r="I17" s="1"/>
      <x:c r="J17" s="8" t="n">
        <x:f>E17/(G17-F17+1)*'假设'!D32</x:f>
        <x:v>0.6</x:v>
      </x:c>
      <x:c r="K17" s="2" t="n">
        <x:f>SUM(L17:W17)</x:f>
        <x:v>7.199999999999998</x:v>
      </x:c>
      <x:c r="L17" s="2" t="n">
        <x:f>IF(AND(1&gt;=F17,1&lt;=G17),J17,0)</x:f>
        <x:v>0.6</x:v>
      </x:c>
      <x:c r="M17" s="2" t="n">
        <x:f>IF(AND(2&gt;=F17,2&lt;=G17),J17,0)</x:f>
        <x:v>0.6</x:v>
      </x:c>
      <x:c r="N17" s="2" t="n">
        <x:f>IF(AND(3&gt;=F17,3&lt;=G17),J17,0)</x:f>
        <x:v>0.6</x:v>
      </x:c>
      <x:c r="O17" s="2" t="n">
        <x:f>IF(AND(4&gt;=F17,4&lt;=G17),J17,0)</x:f>
        <x:v>0.6</x:v>
      </x:c>
      <x:c r="P17" s="2" t="n">
        <x:f>IF(AND(5&gt;=F17,5&lt;=G17),J17,0)</x:f>
        <x:v>0.6</x:v>
      </x:c>
      <x:c r="Q17" s="2" t="n">
        <x:f>IF(AND(6&gt;=F17,6&lt;=G17),J17,0)</x:f>
        <x:v>0.6</x:v>
      </x:c>
      <x:c r="R17" s="2" t="n">
        <x:f>IF(AND(7&gt;=F17,7&lt;=G17),J17,0)</x:f>
        <x:v>0.6</x:v>
      </x:c>
      <x:c r="S17" s="2" t="n">
        <x:f>IF(AND(8&gt;=F17,8&lt;=G17),J17,0)</x:f>
        <x:v>0.6</x:v>
      </x:c>
      <x:c r="T17" s="2" t="n">
        <x:f>IF(AND(9&gt;=F17,9&lt;=G17),J17,0)</x:f>
        <x:v>0.6</x:v>
      </x:c>
      <x:c r="U17" s="2" t="n">
        <x:f>IF(AND(10&gt;=F17,10&lt;=G17),J17,0)</x:f>
        <x:v>0.6</x:v>
      </x:c>
      <x:c r="V17" s="2" t="n">
        <x:f>IF(AND(11&gt;=F17,11&lt;=G17),J17,0)</x:f>
        <x:v>0.6</x:v>
      </x:c>
      <x:c r="W17" s="2" t="n">
        <x:f>IF(AND(12&gt;=F17,12&lt;=G17),J17,0)</x:f>
        <x:v>0.6</x:v>
      </x:c>
    </x:row>
    <x:row r="18" ht="23" customHeight="1">
      <x:c r="A18" s="1"/>
      <x:c r="B18" s="1"/>
      <x:c r="C18" s="1" t="str">
        <x:v>客户差旅与会议</x:v>
      </x:c>
      <x:c r="D18" s="1" t="str">
        <x:v>USD万元</x:v>
      </x:c>
      <x:c r="E18" s="10" t="n">
        <x:v>9.6</x:v>
      </x:c>
      <x:c r="F18" s="10" t="n">
        <x:v>1</x:v>
      </x:c>
      <x:c r="G18" s="10" t="n">
        <x:v>12</x:v>
      </x:c>
      <x:c r="H18" s="1"/>
      <x:c r="I18" s="1"/>
      <x:c r="J18" s="8" t="n">
        <x:f>E18/(G18-F18+1)*'假设'!D32</x:f>
        <x:v>0.7999999999999999</x:v>
      </x:c>
      <x:c r="K18" s="2" t="n">
        <x:f>SUM(L18:W18)</x:f>
        <x:v>9.6</x:v>
      </x:c>
      <x:c r="L18" s="2" t="n">
        <x:f>IF(AND(1&gt;=F18,1&lt;=G18),J18,0)</x:f>
        <x:v>0.7999999999999999</x:v>
      </x:c>
      <x:c r="M18" s="2" t="n">
        <x:f>IF(AND(2&gt;=F18,2&lt;=G18),J18,0)</x:f>
        <x:v>0.7999999999999999</x:v>
      </x:c>
      <x:c r="N18" s="2" t="n">
        <x:f>IF(AND(3&gt;=F18,3&lt;=G18),J18,0)</x:f>
        <x:v>0.7999999999999999</x:v>
      </x:c>
      <x:c r="O18" s="2" t="n">
        <x:f>IF(AND(4&gt;=F18,4&lt;=G18),J18,0)</x:f>
        <x:v>0.7999999999999999</x:v>
      </x:c>
      <x:c r="P18" s="2" t="n">
        <x:f>IF(AND(5&gt;=F18,5&lt;=G18),J18,0)</x:f>
        <x:v>0.7999999999999999</x:v>
      </x:c>
      <x:c r="Q18" s="2" t="n">
        <x:f>IF(AND(6&gt;=F18,6&lt;=G18),J18,0)</x:f>
        <x:v>0.7999999999999999</x:v>
      </x:c>
      <x:c r="R18" s="2" t="n">
        <x:f>IF(AND(7&gt;=F18,7&lt;=G18),J18,0)</x:f>
        <x:v>0.7999999999999999</x:v>
      </x:c>
      <x:c r="S18" s="2" t="n">
        <x:f>IF(AND(8&gt;=F18,8&lt;=G18),J18,0)</x:f>
        <x:v>0.7999999999999999</x:v>
      </x:c>
      <x:c r="T18" s="2" t="n">
        <x:f>IF(AND(9&gt;=F18,9&lt;=G18),J18,0)</x:f>
        <x:v>0.7999999999999999</x:v>
      </x:c>
      <x:c r="U18" s="2" t="n">
        <x:f>IF(AND(10&gt;=F18,10&lt;=G18),J18,0)</x:f>
        <x:v>0.7999999999999999</x:v>
      </x:c>
      <x:c r="V18" s="2" t="n">
        <x:f>IF(AND(11&gt;=F18,11&lt;=G18),J18,0)</x:f>
        <x:v>0.7999999999999999</x:v>
      </x:c>
      <x:c r="W18" s="2" t="n">
        <x:f>IF(AND(12&gt;=F18,12&lt;=G18),J18,0)</x:f>
        <x:v>0.7999999999999999</x:v>
      </x:c>
    </x:row>
    <x:row r="19" ht="23" customHeight="1">
      <x:c r="A19" s="1"/>
      <x:c r="B19" s="1"/>
      <x:c r="C19" s="1" t="str">
        <x:v>本地化与售前产品适配</x:v>
      </x:c>
      <x:c r="D19" s="1" t="str">
        <x:v>USD万元</x:v>
      </x:c>
      <x:c r="E19" s="10" t="n">
        <x:v>12</x:v>
      </x:c>
      <x:c r="F19" s="10" t="n">
        <x:v>1</x:v>
      </x:c>
      <x:c r="G19" s="10" t="n">
        <x:v>6</x:v>
      </x:c>
      <x:c r="H19" s="1"/>
      <x:c r="I19" s="1"/>
      <x:c r="J19" s="8" t="n">
        <x:f>E19/(G19-F19+1)*'假设'!D32</x:f>
        <x:v>2</x:v>
      </x:c>
      <x:c r="K19" s="2" t="n">
        <x:f>SUM(L19:W19)</x:f>
        <x:v>12</x:v>
      </x:c>
      <x:c r="L19" s="2" t="n">
        <x:f>IF(AND(1&gt;=F19,1&lt;=G19),J19,0)</x:f>
        <x:v>2</x:v>
      </x:c>
      <x:c r="M19" s="2" t="n">
        <x:f>IF(AND(2&gt;=F19,2&lt;=G19),J19,0)</x:f>
        <x:v>2</x:v>
      </x:c>
      <x:c r="N19" s="2" t="n">
        <x:f>IF(AND(3&gt;=F19,3&lt;=G19),J19,0)</x:f>
        <x:v>2</x:v>
      </x:c>
      <x:c r="O19" s="2" t="n">
        <x:f>IF(AND(4&gt;=F19,4&lt;=G19),J19,0)</x:f>
        <x:v>2</x:v>
      </x:c>
      <x:c r="P19" s="2" t="n">
        <x:f>IF(AND(5&gt;=F19,5&lt;=G19),J19,0)</x:f>
        <x:v>2</x:v>
      </x:c>
      <x:c r="Q19" s="2" t="n">
        <x:f>IF(AND(6&gt;=F19,6&lt;=G19),J19,0)</x:f>
        <x:v>2</x:v>
      </x:c>
      <x:c r="R19" s="2" t="n">
        <x:f>IF(AND(7&gt;=F19,7&lt;=G19),J19,0)</x:f>
        <x:v>0</x:v>
      </x:c>
      <x:c r="S19" s="2" t="n">
        <x:f>IF(AND(8&gt;=F19,8&lt;=G19),J19,0)</x:f>
        <x:v>0</x:v>
      </x:c>
      <x:c r="T19" s="2" t="n">
        <x:f>IF(AND(9&gt;=F19,9&lt;=G19),J19,0)</x:f>
        <x:v>0</x:v>
      </x:c>
      <x:c r="U19" s="2" t="n">
        <x:f>IF(AND(10&gt;=F19,10&lt;=G19),J19,0)</x:f>
        <x:v>0</x:v>
      </x:c>
      <x:c r="V19" s="2" t="n">
        <x:f>IF(AND(11&gt;=F19,11&lt;=G19),J19,0)</x:f>
        <x:v>0</x:v>
      </x:c>
      <x:c r="W19" s="2" t="n">
        <x:f>IF(AND(12&gt;=F19,12&lt;=G19),J19,0)</x:f>
        <x:v>0</x:v>
      </x:c>
    </x:row>
    <x:row r="20" ht="23" customHeight="1">
      <x:c r="A20" s="1"/>
      <x:c r="B20" s="1"/>
      <x:c r="C20" s="1" t="str">
        <x:v>培训与招聘</x:v>
      </x:c>
      <x:c r="D20" s="1" t="str">
        <x:v>USD万元</x:v>
      </x:c>
      <x:c r="E20" s="10" t="n">
        <x:v>4</x:v>
      </x:c>
      <x:c r="F20" s="10" t="n">
        <x:v>2</x:v>
      </x:c>
      <x:c r="G20" s="10" t="n">
        <x:v>4</x:v>
      </x:c>
      <x:c r="H20" s="1"/>
      <x:c r="I20" s="1"/>
      <x:c r="J20" s="8" t="n">
        <x:f>E20/(G20-F20+1)*'假设'!D32</x:f>
        <x:v>1.3333333333333333</x:v>
      </x:c>
      <x:c r="K20" s="2" t="n">
        <x:f>SUM(L20:W20)</x:f>
        <x:v>4</x:v>
      </x:c>
      <x:c r="L20" s="2" t="n">
        <x:f>IF(AND(1&gt;=F20,1&lt;=G20),J20,0)</x:f>
        <x:v>0</x:v>
      </x:c>
      <x:c r="M20" s="2" t="n">
        <x:f>IF(AND(2&gt;=F20,2&lt;=G20),J20,0)</x:f>
        <x:v>1.3333333333333333</x:v>
      </x:c>
      <x:c r="N20" s="2" t="n">
        <x:f>IF(AND(3&gt;=F20,3&lt;=G20),J20,0)</x:f>
        <x:v>1.3333333333333333</x:v>
      </x:c>
      <x:c r="O20" s="2" t="n">
        <x:f>IF(AND(4&gt;=F20,4&lt;=G20),J20,0)</x:f>
        <x:v>1.3333333333333333</x:v>
      </x:c>
      <x:c r="P20" s="2" t="n">
        <x:f>IF(AND(5&gt;=F20,5&lt;=G20),J20,0)</x:f>
        <x:v>0</x:v>
      </x:c>
      <x:c r="Q20" s="2" t="n">
        <x:f>IF(AND(6&gt;=F20,6&lt;=G20),J20,0)</x:f>
        <x:v>0</x:v>
      </x:c>
      <x:c r="R20" s="2" t="n">
        <x:f>IF(AND(7&gt;=F20,7&lt;=G20),J20,0)</x:f>
        <x:v>0</x:v>
      </x:c>
      <x:c r="S20" s="2" t="n">
        <x:f>IF(AND(8&gt;=F20,8&lt;=G20),J20,0)</x:f>
        <x:v>0</x:v>
      </x:c>
      <x:c r="T20" s="2" t="n">
        <x:f>IF(AND(9&gt;=F20,9&lt;=G20),J20,0)</x:f>
        <x:v>0</x:v>
      </x:c>
      <x:c r="U20" s="2" t="n">
        <x:f>IF(AND(10&gt;=F20,10&lt;=G20),J20,0)</x:f>
        <x:v>0</x:v>
      </x:c>
      <x:c r="V20" s="2" t="n">
        <x:f>IF(AND(11&gt;=F20,11&lt;=G20),J20,0)</x:f>
        <x:v>0</x:v>
      </x:c>
      <x:c r="W20" s="2" t="n">
        <x:f>IF(AND(12&gt;=F20,12&lt;=G20),J20,0)</x:f>
        <x:v>0</x:v>
      </x:c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</x:row>
    <x:row r="23" ht="26" customHeight="1">
      <x:c r="A23" s="1"/>
      <x:c r="B23" s="1"/>
      <x:c r="C23" s="1" t="str">
        <x:v>总部交付</x:v>
      </x:c>
      <x:c r="D23" s="17" t="str">
        <x:v>项目工程人月计入直接成本，本表只含非项目产品适配，不重复计算总部工程工资。</x:v>
      </x:c>
      <x:c r="E23" s="17"/>
      <x:c r="F23" s="17"/>
      <x:c r="G23" s="17"/>
      <x:c r="H23" s="17"/>
      <x:c r="I23" s="17"/>
      <x:c r="J23" s="17"/>
      <x:c r="K23" s="17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</x:row>
    <x:row r="24" ht="26" customHeight="1">
      <x:c r="A24" s="1"/>
      <x:c r="B24" s="1"/>
      <x:c r="C24" s="1" t="str">
        <x:v>薪酬依据</x:v>
      </x:c>
      <x:c r="D24" s="17" t="str">
        <x:v>架构师R06；其他岗位为规划值；已含固定津贴，1.18/1.20仅估计雇主保险、签证等负担。</x:v>
      </x:c>
      <x:c r="E24" s="17"/>
      <x:c r="F24" s="17"/>
      <x:c r="G24" s="17"/>
      <x:c r="H24" s="17"/>
      <x:c r="I24" s="17"/>
      <x:c r="J24" s="17"/>
      <x:c r="K24" s="17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4" ySplit="5" topLeftCell="E6" activePane="bottomRigh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31" hidden="0" customWidth="1"/>
    <x:col min="4" max="4" width="23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</x:row>
    <x:row r="2" ht="23" customHeight="1">
      <x:c r="A2" s="1"/>
      <x:c r="B2" s="1"/>
      <x:c r="C2" s="3" t="str">
        <x:v>布比中东 月度经营（金额：万美元）</x:v>
      </x:c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  <x:c r="AA2" s="3"/>
      <x:c r="AB2" s="3"/>
    </x:row>
    <x:row r="3" ht="23" customHeight="1">
      <x:c r="A3" s="1"/>
      <x:c r="B3" s="1"/>
      <x:c r="C3" s="1" t="str">
        <x:v>情景</x:v>
      </x:c>
      <x:c r="D3" s="8" t="str">
        <x:f>CHOOSE('假设'!D4,"谨慎进入","资源到位目标","突破目标")</x:f>
        <x:v>资源到位目标</x:v>
      </x:c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</x:row>
    <x:row r="5" ht="32" customHeight="1">
      <x:c r="A5" s="1"/>
      <x:c r="B5" s="1"/>
      <x:c r="C5" s="6" t="str">
        <x:v>指标</x:v>
      </x:c>
      <x:c r="D5" s="6" t="str">
        <x:v>Y1合计/期末</x:v>
      </x:c>
      <x:c r="E5" s="6" t="str">
        <x:v>M1</x:v>
      </x:c>
      <x:c r="F5" s="6" t="str">
        <x:v>M2</x:v>
      </x:c>
      <x:c r="G5" s="6" t="str">
        <x:v>M3</x:v>
      </x:c>
      <x:c r="H5" s="6" t="str">
        <x:v>M4</x:v>
      </x:c>
      <x:c r="I5" s="6" t="str">
        <x:v>M5</x:v>
      </x:c>
      <x:c r="J5" s="6" t="str">
        <x:v>M6</x:v>
      </x:c>
      <x:c r="K5" s="6" t="str">
        <x:v>M7</x:v>
      </x:c>
      <x:c r="L5" s="6" t="str">
        <x:v>M8</x:v>
      </x:c>
      <x:c r="M5" s="6" t="str">
        <x:v>M9</x:v>
      </x:c>
      <x:c r="N5" s="6" t="str">
        <x:v>M10</x:v>
      </x:c>
      <x:c r="O5" s="6" t="str">
        <x:v>M11</x:v>
      </x:c>
      <x:c r="P5" s="6" t="str">
        <x:v>M12</x:v>
      </x:c>
      <x:c r="Q5" s="6" t="str">
        <x:v>M13</x:v>
      </x:c>
      <x:c r="R5" s="6" t="str">
        <x:v>M14</x:v>
      </x:c>
      <x:c r="S5" s="6" t="str">
        <x:v>M15</x:v>
      </x:c>
      <x:c r="T5" s="6" t="str">
        <x:v>M16</x:v>
      </x:c>
      <x:c r="U5" s="6" t="str">
        <x:v>M17</x:v>
      </x:c>
      <x:c r="V5" s="6" t="str">
        <x:v>M18</x:v>
      </x:c>
      <x:c r="W5" s="6" t="str">
        <x:v>M19</x:v>
      </x:c>
      <x:c r="X5" s="6" t="str">
        <x:v>M20</x:v>
      </x:c>
      <x:c r="Y5" s="6" t="str">
        <x:v>M21</x:v>
      </x:c>
      <x:c r="Z5" s="6" t="str">
        <x:v>M22</x:v>
      </x:c>
      <x:c r="AA5" s="6" t="str">
        <x:v>M23</x:v>
      </x:c>
      <x:c r="AB5" s="6" t="str">
        <x:v>M24</x:v>
      </x:c>
    </x:row>
    <x:row r="6" ht="23" customHeight="1">
      <x:c r="A6" s="1"/>
      <x:c r="B6" s="1"/>
      <x:c r="C6" s="1" t="str">
        <x:v>净签约</x:v>
      </x:c>
      <x:c r="D6" s="2" t="n">
        <x:f>SUM(E6:P6)</x:f>
        <x:v>476</x:v>
      </x:c>
      <x:c r="E6" s="8" t="n">
        <x:f>SUM('项目月度'!E6,'项目月度'!E15,'项目月度'!E24,'项目月度'!E33,'项目月度'!E42,'项目月度'!E51,'项目月度'!E60,'项目月度'!E69,'项目月度'!E78,'项目月度'!E87,'项目月度'!E96,'项目月度'!E105,'项目月度'!E114,'项目月度'!E123,'项目月度'!E132,'项目月度'!E141,'项目月度'!E150,'项目月度'!E159,'项目月度'!E168,'项目月度'!E177)</x:f>
        <x:v>0</x:v>
      </x:c>
      <x:c r="F6" s="8" t="n">
        <x:f>SUM('项目月度'!F6,'项目月度'!F15,'项目月度'!F24,'项目月度'!F33,'项目月度'!F42,'项目月度'!F51,'项目月度'!F60,'项目月度'!F69,'项目月度'!F78,'项目月度'!F87,'项目月度'!F96,'项目月度'!F105,'项目月度'!F114,'项目月度'!F123,'项目月度'!F132,'项目月度'!F141,'项目月度'!F150,'项目月度'!F159,'项目月度'!F168,'项目月度'!F177)</x:f>
        <x:v>0</x:v>
      </x:c>
      <x:c r="G6" s="8" t="n">
        <x:f>SUM('项目月度'!G6,'项目月度'!G15,'项目月度'!G24,'项目月度'!G33,'项目月度'!G42,'项目月度'!G51,'项目月度'!G60,'项目月度'!G69,'项目月度'!G78,'项目月度'!G87,'项目月度'!G96,'项目月度'!G105,'项目月度'!G114,'项目月度'!G123,'项目月度'!G132,'项目月度'!G141,'项目月度'!G150,'项目月度'!G159,'项目月度'!G168,'项目月度'!G177)</x:f>
        <x:v>8</x:v>
      </x:c>
      <x:c r="H6" s="8" t="n">
        <x:f>SUM('项目月度'!H6,'项目月度'!H15,'项目月度'!H24,'项目月度'!H33,'项目月度'!H42,'项目月度'!H51,'项目月度'!H60,'项目月度'!H69,'项目月度'!H78,'项目月度'!H87,'项目月度'!H96,'项目月度'!H105,'项目月度'!H114,'项目月度'!H123,'项目月度'!H132,'项目月度'!H141,'项目月度'!H150,'项目月度'!H159,'项目月度'!H168,'项目月度'!H177)</x:f>
        <x:v>8</x:v>
      </x:c>
      <x:c r="I6" s="8" t="n">
        <x:f>SUM('项目月度'!I6,'项目月度'!I15,'项目月度'!I24,'项目月度'!I33,'项目月度'!I42,'项目月度'!I51,'项目月度'!I60,'项目月度'!I69,'项目月度'!I78,'项目月度'!I87,'项目月度'!I96,'项目月度'!I105,'项目月度'!I114,'项目月度'!I123,'项目月度'!I132,'项目月度'!I141,'项目月度'!I150,'项目月度'!I159,'项目月度'!I168,'项目月度'!I177)</x:f>
        <x:v>8</x:v>
      </x:c>
      <x:c r="J6" s="8" t="n">
        <x:f>SUM('项目月度'!J6,'项目月度'!J15,'项目月度'!J24,'项目月度'!J33,'项目月度'!J42,'项目月度'!J51,'项目月度'!J60,'项目月度'!J69,'项目月度'!J78,'项目月度'!J87,'项目月度'!J96,'项目月度'!J105,'项目月度'!J114,'项目月度'!J123,'项目月度'!J132,'项目月度'!J141,'项目月度'!J150,'项目月度'!J159,'项目月度'!J168,'项目月度'!J177)</x:f>
        <x:v>219</x:v>
      </x:c>
      <x:c r="K6" s="8" t="n">
        <x:f>SUM('项目月度'!K6,'项目月度'!K15,'项目月度'!K24,'项目月度'!K33,'项目月度'!K42,'项目月度'!K51,'项目月度'!K60,'项目月度'!K69,'项目月度'!K78,'项目月度'!K87,'项目月度'!K96,'项目月度'!K105,'项目月度'!K114,'项目月度'!K123,'项目月度'!K132,'项目月度'!K141,'项目月度'!K150,'项目月度'!K159,'项目月度'!K168,'项目月度'!K177)</x:f>
        <x:v>75</x:v>
      </x:c>
      <x:c r="L6" s="8" t="n">
        <x:f>SUM('项目月度'!L6,'项目月度'!L15,'项目月度'!L24,'项目月度'!L33,'项目月度'!L42,'项目月度'!L51,'项目月度'!L60,'项目月度'!L69,'项目月度'!L78,'项目月度'!L87,'项目月度'!L96,'项目月度'!L105,'项目月度'!L114,'项目月度'!L123,'项目月度'!L132,'项目月度'!L141,'项目月度'!L150,'项目月度'!L159,'项目月度'!L168,'项目月度'!L177)</x:f>
        <x:v>75</x:v>
      </x:c>
      <x:c r="M6" s="8" t="n">
        <x:f>SUM('项目月度'!M6,'项目月度'!M15,'项目月度'!M24,'项目月度'!M33,'项目月度'!M42,'项目月度'!M51,'项目月度'!M60,'项目月度'!M69,'项目月度'!M78,'项目月度'!M87,'项目月度'!M96,'项目月度'!M105,'项目月度'!M114,'项目月度'!M123,'项目月度'!M132,'项目月度'!M141,'项目月度'!M150,'项目月度'!M159,'项目月度'!M168,'项目月度'!M177)</x:f>
        <x:v>75</x:v>
      </x:c>
      <x:c r="N6" s="8" t="n">
        <x:f>SUM('项目月度'!N6,'项目月度'!N15,'项目月度'!N24,'项目月度'!N33,'项目月度'!N42,'项目月度'!N51,'项目月度'!N60,'项目月度'!N69,'项目月度'!N78,'项目月度'!N87,'项目月度'!N96,'项目月度'!N105,'项目月度'!N114,'项目月度'!N123,'项目月度'!N132,'项目月度'!N141,'项目月度'!N150,'项目月度'!N159,'项目月度'!N168,'项目月度'!N177)</x:f>
        <x:v>8</x:v>
      </x:c>
      <x:c r="O6" s="8" t="n">
        <x:f>SUM('项目月度'!O6,'项目月度'!O15,'项目月度'!O24,'项目月度'!O33,'项目月度'!O42,'项目月度'!O51,'项目月度'!O60,'项目月度'!O69,'项目月度'!O78,'项目月度'!O87,'项目月度'!O96,'项目月度'!O105,'项目月度'!O114,'项目月度'!O123,'项目月度'!O132,'项目月度'!O141,'项目月度'!O150,'项目月度'!O159,'项目月度'!O168,'项目月度'!O177)</x:f>
        <x:v>0</x:v>
      </x:c>
      <x:c r="P6" s="8" t="n">
        <x:f>SUM('项目月度'!P6,'项目月度'!P15,'项目月度'!P24,'项目月度'!P33,'项目月度'!P42,'项目月度'!P51,'项目月度'!P60,'项目月度'!P69,'项目月度'!P78,'项目月度'!P87,'项目月度'!P96,'项目月度'!P105,'项目月度'!P114,'项目月度'!P123,'项目月度'!P132,'项目月度'!P141,'项目月度'!P150,'项目月度'!P159,'项目月度'!P168,'项目月度'!P177)</x:f>
        <x:v>0</x:v>
      </x:c>
      <x:c r="Q6" s="8" t="n">
        <x:f>SUM('项目月度'!Q6,'项目月度'!Q15,'项目月度'!Q24,'项目月度'!Q33,'项目月度'!Q42,'项目月度'!Q51,'项目月度'!Q60,'项目月度'!Q69,'项目月度'!Q78,'项目月度'!Q87,'项目月度'!Q96,'项目月度'!Q105,'项目月度'!Q114,'项目月度'!Q123,'项目月度'!Q132,'项目月度'!Q141,'项目月度'!Q150,'项目月度'!Q159,'项目月度'!Q168,'项目月度'!Q177)</x:f>
        <x:v>0</x:v>
      </x:c>
      <x:c r="R6" s="8" t="n">
        <x:f>SUM('项目月度'!R6,'项目月度'!R15,'项目月度'!R24,'项目月度'!R33,'项目月度'!R42,'项目月度'!R51,'项目月度'!R60,'项目月度'!R69,'项目月度'!R78,'项目月度'!R87,'项目月度'!R96,'项目月度'!R105,'项目月度'!R114,'项目月度'!R123,'项目月度'!R132,'项目月度'!R141,'项目月度'!R150,'项目月度'!R159,'项目月度'!R168,'项目月度'!R177)</x:f>
        <x:v>0</x:v>
      </x:c>
      <x:c r="S6" s="8" t="n">
        <x:f>SUM('项目月度'!S6,'项目月度'!S15,'项目月度'!S24,'项目月度'!S33,'项目月度'!S42,'项目月度'!S51,'项目月度'!S60,'项目月度'!S69,'项目月度'!S78,'项目月度'!S87,'项目月度'!S96,'项目月度'!S105,'项目月度'!S114,'项目月度'!S123,'项目月度'!S132,'项目月度'!S141,'项目月度'!S150,'项目月度'!S159,'项目月度'!S168,'项目月度'!S177)</x:f>
        <x:v>0</x:v>
      </x:c>
      <x:c r="T6" s="8" t="n">
        <x:f>SUM('项目月度'!T6,'项目月度'!T15,'项目月度'!T24,'项目月度'!T33,'项目月度'!T42,'项目月度'!T51,'项目月度'!T60,'项目月度'!T69,'项目月度'!T78,'项目月度'!T87,'项目月度'!T96,'项目月度'!T105,'项目月度'!T114,'项目月度'!T123,'项目月度'!T132,'项目月度'!T141,'项目月度'!T150,'项目月度'!T159,'项目月度'!T168,'项目月度'!T177)</x:f>
        <x:v>0</x:v>
      </x:c>
      <x:c r="U6" s="8" t="n">
        <x:f>SUM('项目月度'!U6,'项目月度'!U15,'项目月度'!U24,'项目月度'!U33,'项目月度'!U42,'项目月度'!U51,'项目月度'!U60,'项目月度'!U69,'项目月度'!U78,'项目月度'!U87,'项目月度'!U96,'项目月度'!U105,'项目月度'!U114,'项目月度'!U123,'项目月度'!U132,'项目月度'!U141,'项目月度'!U150,'项目月度'!U159,'项目月度'!U168,'项目月度'!U177)</x:f>
        <x:v>0</x:v>
      </x:c>
      <x:c r="V6" s="8" t="n">
        <x:f>SUM('项目月度'!V6,'项目月度'!V15,'项目月度'!V24,'项目月度'!V33,'项目月度'!V42,'项目月度'!V51,'项目月度'!V60,'项目月度'!V69,'项目月度'!V78,'项目月度'!V87,'项目月度'!V96,'项目月度'!V105,'项目月度'!V114,'项目月度'!V123,'项目月度'!V132,'项目月度'!V141,'项目月度'!V150,'项目月度'!V159,'项目月度'!V168,'项目月度'!V177)</x:f>
        <x:v>0</x:v>
      </x:c>
      <x:c r="W6" s="8" t="n">
        <x:f>SUM('项目月度'!W6,'项目月度'!W15,'项目月度'!W24,'项目月度'!W33,'项目月度'!W42,'项目月度'!W51,'项目月度'!W60,'项目月度'!W69,'项目月度'!W78,'项目月度'!W87,'项目月度'!W96,'项目月度'!W105,'项目月度'!W114,'项目月度'!W123,'项目月度'!W132,'项目月度'!W141,'项目月度'!W150,'项目月度'!W159,'项目月度'!W168,'项目月度'!W177)</x:f>
        <x:v>0</x:v>
      </x:c>
      <x:c r="X6" s="8" t="n">
        <x:f>SUM('项目月度'!X6,'项目月度'!X15,'项目月度'!X24,'项目月度'!X33,'项目月度'!X42,'项目月度'!X51,'项目月度'!X60,'项目月度'!X69,'项目月度'!X78,'项目月度'!X87,'项目月度'!X96,'项目月度'!X105,'项目月度'!X114,'项目月度'!X123,'项目月度'!X132,'项目月度'!X141,'项目月度'!X150,'项目月度'!X159,'项目月度'!X168,'项目月度'!X177)</x:f>
        <x:v>0</x:v>
      </x:c>
      <x:c r="Y6" s="8" t="n">
        <x:f>SUM('项目月度'!Y6,'项目月度'!Y15,'项目月度'!Y24,'项目月度'!Y33,'项目月度'!Y42,'项目月度'!Y51,'项目月度'!Y60,'项目月度'!Y69,'项目月度'!Y78,'项目月度'!Y87,'项目月度'!Y96,'项目月度'!Y105,'项目月度'!Y114,'项目月度'!Y123,'项目月度'!Y132,'项目月度'!Y141,'项目月度'!Y150,'项目月度'!Y159,'项目月度'!Y168,'项目月度'!Y177)</x:f>
        <x:v>0</x:v>
      </x:c>
      <x:c r="Z6" s="8" t="n">
        <x:f>SUM('项目月度'!Z6,'项目月度'!Z15,'项目月度'!Z24,'项目月度'!Z33,'项目月度'!Z42,'项目月度'!Z51,'项目月度'!Z60,'项目月度'!Z69,'项目月度'!Z78,'项目月度'!Z87,'项目月度'!Z96,'项目月度'!Z105,'项目月度'!Z114,'项目月度'!Z123,'项目月度'!Z132,'项目月度'!Z141,'项目月度'!Z150,'项目月度'!Z159,'项目月度'!Z168,'项目月度'!Z177)</x:f>
        <x:v>0</x:v>
      </x:c>
      <x:c r="AA6" s="8" t="n">
        <x:f>SUM('项目月度'!AA6,'项目月度'!AA15,'项目月度'!AA24,'项目月度'!AA33,'项目月度'!AA42,'项目月度'!AA51,'项目月度'!AA60,'项目月度'!AA69,'项目月度'!AA78,'项目月度'!AA87,'项目月度'!AA96,'项目月度'!AA105,'项目月度'!AA114,'项目月度'!AA123,'项目月度'!AA132,'项目月度'!AA141,'项目月度'!AA150,'项目月度'!AA159,'项目月度'!AA168,'项目月度'!AA177)</x:f>
        <x:v>0</x:v>
      </x:c>
      <x:c r="AB6" s="8" t="n">
        <x:f>SUM('项目月度'!AB6,'项目月度'!AB15,'项目月度'!AB24,'项目月度'!AB33,'项目月度'!AB42,'项目月度'!AB51,'项目月度'!AB60,'项目月度'!AB69,'项目月度'!AB78,'项目月度'!AB87,'项目月度'!AB96,'项目月度'!AB105,'项目月度'!AB114,'项目月度'!AB123,'项目月度'!AB132,'项目月度'!AB141,'项目月度'!AB150,'项目月度'!AB159,'项目月度'!AB168,'项目月度'!AB177)</x:f>
        <x:v>0</x:v>
      </x:c>
    </x:row>
    <x:row r="7" ht="23" customHeight="1">
      <x:c r="A7" s="1"/>
      <x:c r="B7" s="1"/>
      <x:c r="C7" s="1" t="str">
        <x:v>确认收入</x:v>
      </x:c>
      <x:c r="D7" s="2" t="n">
        <x:f>SUM(E7:P7)</x:f>
        <x:v>410</x:v>
      </x:c>
      <x:c r="E7" s="8" t="n">
        <x:f>SUM('项目月度'!E7,'项目月度'!E16,'项目月度'!E25,'项目月度'!E34,'项目月度'!E43,'项目月度'!E52,'项目月度'!E61,'项目月度'!E70,'项目月度'!E79,'项目月度'!E88,'项目月度'!E97,'项目月度'!E106,'项目月度'!E115,'项目月度'!E124,'项目月度'!E133,'项目月度'!E142,'项目月度'!E151,'项目月度'!E160,'项目月度'!E169,'项目月度'!E178)</x:f>
        <x:v>0</x:v>
      </x:c>
      <x:c r="F7" s="8" t="n">
        <x:f>SUM('项目月度'!F7,'项目月度'!F16,'项目月度'!F25,'项目月度'!F34,'项目月度'!F43,'项目月度'!F52,'项目月度'!F61,'项目月度'!F70,'项目月度'!F79,'项目月度'!F88,'项目月度'!F97,'项目月度'!F106,'项目月度'!F115,'项目月度'!F124,'项目月度'!F133,'项目月度'!F142,'项目月度'!F151,'项目月度'!F160,'项目月度'!F169,'项目月度'!F178)</x:f>
        <x:v>0</x:v>
      </x:c>
      <x:c r="G7" s="8" t="n">
        <x:f>SUM('项目月度'!G7,'项目月度'!G16,'项目月度'!G25,'项目月度'!G34,'项目月度'!G43,'项目月度'!G52,'项目月度'!G61,'项目月度'!G70,'项目月度'!G79,'项目月度'!G88,'项目月度'!G97,'项目月度'!G106,'项目月度'!G115,'项目月度'!G124,'项目月度'!G133,'项目月度'!G142,'项目月度'!G151,'项目月度'!G160,'项目月度'!G169,'项目月度'!G178)</x:f>
        <x:v>0</x:v>
      </x:c>
      <x:c r="H7" s="8" t="n">
        <x:f>SUM('项目月度'!H7,'项目月度'!H16,'项目月度'!H25,'项目月度'!H34,'项目月度'!H43,'项目月度'!H52,'项目月度'!H61,'项目月度'!H70,'项目月度'!H79,'项目月度'!H88,'项目月度'!H97,'项目月度'!H106,'项目月度'!H115,'项目月度'!H124,'项目月度'!H133,'项目月度'!H142,'项目月度'!H151,'项目月度'!H160,'项目月度'!H169,'项目月度'!H178)</x:f>
        <x:v>8</x:v>
      </x:c>
      <x:c r="I7" s="8" t="n">
        <x:f>SUM('项目月度'!I7,'项目月度'!I16,'项目月度'!I25,'项目月度'!I34,'项目月度'!I43,'项目月度'!I52,'项目月度'!I61,'项目月度'!I70,'项目月度'!I79,'项目月度'!I88,'项目月度'!I97,'项目月度'!I106,'项目月度'!I115,'项目月度'!I124,'项目月度'!I133,'项目月度'!I142,'项目月度'!I151,'项目月度'!I160,'项目月度'!I169,'项目月度'!I178)</x:f>
        <x:v>8</x:v>
      </x:c>
      <x:c r="J7" s="8" t="n">
        <x:f>SUM('项目月度'!J7,'项目月度'!J16,'项目月度'!J25,'项目月度'!J34,'项目月度'!J43,'项目月度'!J52,'项目月度'!J61,'项目月度'!J70,'项目月度'!J79,'项目月度'!J88,'项目月度'!J97,'项目月度'!J106,'项目月度'!J115,'项目月度'!J124,'项目月度'!J133,'项目月度'!J142,'项目月度'!J151,'项目月度'!J160,'项目月度'!J169,'项目月度'!J178)</x:f>
        <x:v>8</x:v>
      </x:c>
      <x:c r="K7" s="8" t="n">
        <x:f>SUM('项目月度'!K7,'项目月度'!K16,'项目月度'!K25,'项目月度'!K34,'项目月度'!K43,'项目月度'!K52,'项目月度'!K61,'项目月度'!K70,'项目月度'!K79,'项目月度'!K88,'项目月度'!K97,'项目月度'!K106,'项目月度'!K115,'项目月度'!K124,'项目月度'!K133,'项目月度'!K142,'项目月度'!K151,'项目月度'!K160,'项目月度'!K169,'项目月度'!K178)</x:f>
        <x:v>8</x:v>
      </x:c>
      <x:c r="L7" s="8" t="n">
        <x:f>SUM('项目月度'!L7,'项目月度'!L16,'项目月度'!L25,'项目月度'!L34,'项目月度'!L43,'项目月度'!L52,'项目月度'!L61,'项目月度'!L70,'项目月度'!L79,'项目月度'!L88,'项目月度'!L97,'项目月度'!L106,'项目月度'!L115,'项目月度'!L124,'项目月度'!L133,'项目月度'!L142,'项目月度'!L151,'项目月度'!L160,'项目月度'!L169,'项目月度'!L178)</x:f>
        <x:v>8</x:v>
      </x:c>
      <x:c r="M7" s="8" t="n">
        <x:f>SUM('项目月度'!M7,'项目月度'!M16,'项目月度'!M25,'项目月度'!M34,'项目月度'!M43,'项目月度'!M52,'项目月度'!M61,'项目月度'!M70,'项目月度'!M79,'项目月度'!M88,'项目月度'!M97,'项目月度'!M106,'项目月度'!M115,'项目月度'!M124,'项目月度'!M133,'项目月度'!M142,'项目月度'!M151,'项目月度'!M160,'项目月度'!M169,'项目月度'!M178)</x:f>
        <x:v>63</x:v>
      </x:c>
      <x:c r="N7" s="8" t="n">
        <x:f>SUM('项目月度'!N7,'项目月度'!N16,'项目月度'!N25,'项目月度'!N34,'项目月度'!N43,'项目月度'!N52,'项目月度'!N61,'项目月度'!N70,'项目月度'!N79,'项目月度'!N88,'项目月度'!N97,'项目月度'!N106,'项目月度'!N115,'项目月度'!N124,'项目月度'!N133,'项目月度'!N142,'项目月度'!N151,'项目月度'!N160,'项目月度'!N169,'项目月度'!N178)</x:f>
        <x:v>64</x:v>
      </x:c>
      <x:c r="O7" s="8" t="n">
        <x:f>SUM('项目月度'!O7,'项目月度'!O16,'项目月度'!O25,'项目月度'!O34,'项目月度'!O43,'项目月度'!O52,'项目月度'!O61,'项目月度'!O70,'项目月度'!O79,'项目月度'!O88,'项目月度'!O97,'项目月度'!O106,'项目月度'!O115,'项目月度'!O124,'项目月度'!O133,'项目月度'!O142,'项目月度'!O151,'项目月度'!O160,'项目月度'!O169,'项目月度'!O178)</x:f>
        <x:v>65</x:v>
      </x:c>
      <x:c r="P7" s="8" t="n">
        <x:f>SUM('项目月度'!P7,'项目月度'!P16,'项目月度'!P25,'项目月度'!P34,'项目月度'!P43,'项目月度'!P52,'项目月度'!P61,'项目月度'!P70,'项目月度'!P79,'项目月度'!P88,'项目月度'!P97,'项目月度'!P106,'项目月度'!P115,'项目月度'!P124,'项目月度'!P133,'项目月度'!P142,'项目月度'!P151,'项目月度'!P160,'项目月度'!P169,'项目月度'!P178)</x:f>
        <x:v>178</x:v>
      </x:c>
      <x:c r="Q7" s="8" t="n">
        <x:f>SUM('项目月度'!Q7,'项目月度'!Q16,'项目月度'!Q25,'项目月度'!Q34,'项目月度'!Q43,'项目月度'!Q52,'项目月度'!Q61,'项目月度'!Q70,'项目月度'!Q79,'项目月度'!Q88,'项目月度'!Q97,'项目月度'!Q106,'项目月度'!Q115,'项目月度'!Q124,'项目月度'!Q133,'项目月度'!Q142,'项目月度'!Q151,'项目月度'!Q160,'项目月度'!Q169,'项目月度'!Q178)</x:f>
        <x:v>6</x:v>
      </x:c>
      <x:c r="R7" s="8" t="n">
        <x:f>SUM('项目月度'!R7,'项目月度'!R16,'项目月度'!R25,'项目月度'!R34,'项目月度'!R43,'项目月度'!R52,'项目月度'!R61,'项目月度'!R70,'项目月度'!R79,'项目月度'!R88,'项目月度'!R97,'项目月度'!R106,'项目月度'!R115,'项目月度'!R124,'项目月度'!R133,'项目月度'!R142,'项目月度'!R151,'项目月度'!R160,'项目月度'!R169,'项目月度'!R178)</x:f>
        <x:v>6</x:v>
      </x:c>
      <x:c r="S7" s="8" t="n">
        <x:f>SUM('项目月度'!S7,'项目月度'!S16,'项目月度'!S25,'项目月度'!S34,'项目月度'!S43,'项目月度'!S52,'项目月度'!S61,'项目月度'!S70,'项目月度'!S79,'项目月度'!S88,'项目月度'!S97,'项目月度'!S106,'项目月度'!S115,'项目月度'!S124,'项目月度'!S133,'项目月度'!S142,'项目月度'!S151,'项目月度'!S160,'项目月度'!S169,'项目月度'!S178)</x:f>
        <x:v>6</x:v>
      </x:c>
      <x:c r="T7" s="8" t="n">
        <x:f>SUM('项目月度'!T7,'项目月度'!T16,'项目月度'!T25,'项目月度'!T34,'项目月度'!T43,'项目月度'!T52,'项目月度'!T61,'项目月度'!T70,'项目月度'!T79,'项目月度'!T88,'项目月度'!T97,'项目月度'!T106,'项目月度'!T115,'项目月度'!T124,'项目月度'!T133,'项目月度'!T142,'项目月度'!T151,'项目月度'!T160,'项目月度'!T169,'项目月度'!T178)</x:f>
        <x:v>6</x:v>
      </x:c>
      <x:c r="U7" s="8" t="n">
        <x:f>SUM('项目月度'!U7,'项目月度'!U16,'项目月度'!U25,'项目月度'!U34,'项目月度'!U43,'项目月度'!U52,'项目月度'!U61,'项目月度'!U70,'项目月度'!U79,'项目月度'!U88,'项目月度'!U97,'项目月度'!U106,'项目月度'!U115,'项目月度'!U124,'项目月度'!U133,'项目月度'!U142,'项目月度'!U151,'项目月度'!U160,'项目月度'!U169,'项目月度'!U178)</x:f>
        <x:v>6</x:v>
      </x:c>
      <x:c r="V7" s="8" t="n">
        <x:f>SUM('项目月度'!V7,'项目月度'!V16,'项目月度'!V25,'项目月度'!V34,'项目月度'!V43,'项目月度'!V52,'项目月度'!V61,'项目月度'!V70,'项目月度'!V79,'项目月度'!V88,'项目月度'!V97,'项目月度'!V106,'项目月度'!V115,'项目月度'!V124,'项目月度'!V133,'项目月度'!V142,'项目月度'!V151,'项目月度'!V160,'项目月度'!V169,'项目月度'!V178)</x:f>
        <x:v>6</x:v>
      </x:c>
      <x:c r="W7" s="8" t="n">
        <x:f>SUM('项目月度'!W7,'项目月度'!W16,'项目月度'!W25,'项目月度'!W34,'项目月度'!W43,'项目月度'!W52,'项目月度'!W61,'项目月度'!W70,'项目月度'!W79,'项目月度'!W88,'项目月度'!W97,'项目月度'!W106,'项目月度'!W115,'项目月度'!W124,'项目月度'!W133,'项目月度'!W142,'项目月度'!W151,'项目月度'!W160,'项目月度'!W169,'项目月度'!W178)</x:f>
        <x:v>6</x:v>
      </x:c>
      <x:c r="X7" s="8" t="n">
        <x:f>SUM('项目月度'!X7,'项目月度'!X16,'项目月度'!X25,'项目月度'!X34,'项目月度'!X43,'项目月度'!X52,'项目月度'!X61,'项目月度'!X70,'项目月度'!X79,'项目月度'!X88,'项目月度'!X97,'项目月度'!X106,'项目月度'!X115,'项目月度'!X124,'项目月度'!X133,'项目月度'!X142,'项目月度'!X151,'项目月度'!X160,'项目月度'!X169,'项目月度'!X178)</x:f>
        <x:v>6</x:v>
      </x:c>
      <x:c r="Y7" s="8" t="n">
        <x:f>SUM('项目月度'!Y7,'项目月度'!Y16,'项目月度'!Y25,'项目月度'!Y34,'项目月度'!Y43,'项目月度'!Y52,'项目月度'!Y61,'项目月度'!Y70,'项目月度'!Y79,'项目月度'!Y88,'项目月度'!Y97,'项目月度'!Y106,'项目月度'!Y115,'项目月度'!Y124,'项目月度'!Y133,'项目月度'!Y142,'项目月度'!Y151,'项目月度'!Y160,'项目月度'!Y169,'项目月度'!Y178)</x:f>
        <x:v>6</x:v>
      </x:c>
      <x:c r="Z7" s="8" t="n">
        <x:f>SUM('项目月度'!Z7,'项目月度'!Z16,'项目月度'!Z25,'项目月度'!Z34,'项目月度'!Z43,'项目月度'!Z52,'项目月度'!Z61,'项目月度'!Z70,'项目月度'!Z79,'项目月度'!Z88,'项目月度'!Z97,'项目月度'!Z106,'项目月度'!Z115,'项目月度'!Z124,'项目月度'!Z133,'项目月度'!Z142,'项目月度'!Z151,'项目月度'!Z160,'项目月度'!Z169,'项目月度'!Z178)</x:f>
        <x:v>5</x:v>
      </x:c>
      <x:c r="AA7" s="8" t="n">
        <x:f>SUM('项目月度'!AA7,'项目月度'!AA16,'项目月度'!AA25,'项目月度'!AA34,'项目月度'!AA43,'项目月度'!AA52,'项目月度'!AA61,'项目月度'!AA70,'项目月度'!AA79,'项目月度'!AA88,'项目月度'!AA97,'项目月度'!AA106,'项目月度'!AA115,'项目月度'!AA124,'项目月度'!AA133,'项目月度'!AA142,'项目月度'!AA151,'项目月度'!AA160,'项目月度'!AA169,'项目月度'!AA178)</x:f>
        <x:v>4</x:v>
      </x:c>
      <x:c r="AB7" s="8" t="n">
        <x:f>SUM('项目月度'!AB7,'项目月度'!AB16,'项目月度'!AB25,'项目月度'!AB34,'项目月度'!AB43,'项目月度'!AB52,'项目月度'!AB61,'项目月度'!AB70,'项目月度'!AB79,'项目月度'!AB88,'项目月度'!AB97,'项目月度'!AB106,'项目月度'!AB115,'项目月度'!AB124,'项目月度'!AB133,'项目月度'!AB142,'项目月度'!AB151,'项目月度'!AB160,'项目月度'!AB169,'项目月度'!AB178)</x:f>
        <x:v>3</x:v>
      </x:c>
    </x:row>
    <x:row r="8" ht="23" customHeight="1">
      <x:c r="A8" s="1"/>
      <x:c r="B8" s="1"/>
      <x:c r="C8" s="1" t="str">
        <x:v>开票</x:v>
      </x:c>
      <x:c r="D8" s="2" t="n">
        <x:f>SUM(E8:P8)</x:f>
        <x:v>440</x:v>
      </x:c>
      <x:c r="E8" s="8" t="n">
        <x:f>SUM('项目月度'!E8,'项目月度'!E17,'项目月度'!E26,'项目月度'!E35,'项目月度'!E44,'项目月度'!E53,'项目月度'!E62,'项目月度'!E71,'项目月度'!E80,'项目月度'!E89,'项目月度'!E98,'项目月度'!E107,'项目月度'!E116,'项目月度'!E125,'项目月度'!E134,'项目月度'!E143,'项目月度'!E152,'项目月度'!E161,'项目月度'!E170,'项目月度'!E179)</x:f>
        <x:v>0</x:v>
      </x:c>
      <x:c r="F8" s="8" t="n">
        <x:f>SUM('项目月度'!F8,'项目月度'!F17,'项目月度'!F26,'项目月度'!F35,'项目月度'!F44,'项目月度'!F53,'项目月度'!F62,'项目月度'!F71,'项目月度'!F80,'项目月度'!F89,'项目月度'!F98,'项目月度'!F107,'项目月度'!F116,'项目月度'!F125,'项目月度'!F134,'项目月度'!F143,'项目月度'!F152,'项目月度'!F161,'项目月度'!F170,'项目月度'!F179)</x:f>
        <x:v>0</x:v>
      </x:c>
      <x:c r="G8" s="8" t="n">
        <x:f>SUM('项目月度'!G8,'项目月度'!G17,'项目月度'!G26,'项目月度'!G35,'项目月度'!G44,'项目月度'!G53,'项目月度'!G62,'项目月度'!G71,'项目月度'!G80,'项目月度'!G89,'项目月度'!G98,'项目月度'!G107,'项目月度'!G116,'项目月度'!G125,'项目月度'!G134,'项目月度'!G143,'项目月度'!G152,'项目月度'!G161,'项目月度'!G170,'项目月度'!G179)</x:f>
        <x:v>2.4</x:v>
      </x:c>
      <x:c r="H8" s="8" t="n">
        <x:f>SUM('项目月度'!H8,'项目月度'!H17,'项目月度'!H26,'项目月度'!H35,'项目月度'!H44,'项目月度'!H53,'项目月度'!H62,'项目月度'!H71,'项目月度'!H80,'项目月度'!H89,'项目月度'!H98,'项目月度'!H107,'项目月度'!H116,'项目月度'!H125,'项目月度'!H134,'项目月度'!H143,'项目月度'!H152,'项目月度'!H161,'项目月度'!H170,'项目月度'!H179)</x:f>
        <x:v>8</x:v>
      </x:c>
      <x:c r="I8" s="8" t="n">
        <x:f>SUM('项目月度'!I8,'项目月度'!I17,'项目月度'!I26,'项目月度'!I35,'项目月度'!I44,'项目月度'!I53,'项目月度'!I62,'项目月度'!I71,'项目月度'!I80,'项目月度'!I89,'项目月度'!I98,'项目月度'!I107,'项目月度'!I116,'项目月度'!I125,'项目月度'!I134,'项目月度'!I143,'项目月度'!I152,'项目月度'!I161,'项目月度'!I170,'项目月度'!I179)</x:f>
        <x:v>8</x:v>
      </x:c>
      <x:c r="J8" s="8" t="n">
        <x:f>SUM('项目月度'!J8,'项目月度'!J17,'项目月度'!J26,'项目月度'!J35,'项目月度'!J44,'项目月度'!J53,'项目月度'!J62,'项目月度'!J71,'项目月度'!J80,'项目月度'!J89,'项目月度'!J98,'项目月度'!J107,'项目月度'!J116,'项目月度'!J125,'项目月度'!J134,'项目月度'!J143,'项目月度'!J152,'项目月度'!J161,'项目月度'!J170,'项目月度'!J179)</x:f>
        <x:v>60.5</x:v>
      </x:c>
      <x:c r="K8" s="8" t="n">
        <x:f>SUM('项目月度'!K8,'项目月度'!K17,'项目月度'!K26,'项目月度'!K35,'项目月度'!K44,'项目月度'!K53,'项目月度'!K62,'项目月度'!K71,'项目月度'!K80,'项目月度'!K89,'项目月度'!K98,'项目月度'!K107,'项目月度'!K116,'项目月度'!K125,'项目月度'!K134,'项目月度'!K143,'项目月度'!K152,'项目月度'!K161,'项目月度'!K170,'项目月度'!K179)</x:f>
        <x:v>24.5</x:v>
      </x:c>
      <x:c r="L8" s="8" t="n">
        <x:f>SUM('项目月度'!L8,'项目月度'!L17,'项目月度'!L26,'项目月度'!L35,'项目月度'!L44,'项目月度'!L53,'项目月度'!L62,'项目月度'!L71,'项目月度'!L80,'项目月度'!L89,'项目月度'!L98,'项目月度'!L107,'项目月度'!L116,'项目月度'!L125,'项目月度'!L134,'项目月度'!L143,'项目月度'!L152,'项目月度'!L161,'项目月度'!L170,'项目月度'!L179)</x:f>
        <x:v>46.5</x:v>
      </x:c>
      <x:c r="M8" s="8" t="n">
        <x:f>SUM('项目月度'!M8,'项目月度'!M17,'项目月度'!M26,'项目月度'!M35,'项目月度'!M44,'项目月度'!M53,'项目月度'!M62,'项目月度'!M71,'项目月度'!M80,'项目月度'!M89,'项目月度'!M98,'项目月度'!M107,'项目月度'!M116,'项目月度'!M125,'项目月度'!M134,'项目月度'!M143,'项目月度'!M152,'项目月度'!M161,'项目月度'!M170,'项目月度'!M179)</x:f>
        <x:v>111</x:v>
      </x:c>
      <x:c r="N8" s="8" t="n">
        <x:f>SUM('项目月度'!N8,'项目月度'!N17,'项目月度'!N26,'项目月度'!N35,'项目月度'!N44,'项目月度'!N53,'项目月度'!N62,'项目月度'!N71,'项目月度'!N80,'项目月度'!N89,'项目月度'!N98,'项目月度'!N107,'项目月度'!N116,'项目月度'!N125,'项目月度'!N134,'项目月度'!N143,'项目月度'!N152,'项目月度'!N161,'项目月度'!N170,'项目月度'!N179)</x:f>
        <x:v>58.5</x:v>
      </x:c>
      <x:c r="O8" s="8" t="n">
        <x:f>SUM('项目月度'!O8,'项目月度'!O17,'项目月度'!O26,'项目月度'!O35,'项目月度'!O44,'项目月度'!O53,'项目月度'!O62,'项目月度'!O71,'项目月度'!O80,'项目月度'!O89,'项目月度'!O98,'项目月度'!O107,'项目月度'!O116,'项目月度'!O125,'项目月度'!O134,'项目月度'!O143,'项目月度'!O152,'项目月度'!O161,'项目月度'!O170,'项目月度'!O179)</x:f>
        <x:v>56.1</x:v>
      </x:c>
      <x:c r="P8" s="8" t="n">
        <x:f>SUM('项目月度'!P8,'项目月度'!P17,'项目月度'!P26,'项目月度'!P35,'项目月度'!P44,'项目月度'!P53,'项目月度'!P62,'项目月度'!P71,'项目月度'!P80,'项目月度'!P89,'项目月度'!P98,'项目月度'!P107,'项目月度'!P116,'项目月度'!P125,'项目月度'!P134,'项目月度'!P143,'项目月度'!P152,'项目月度'!P161,'项目月度'!P170,'项目月度'!P179)</x:f>
        <x:v>64.5</x:v>
      </x:c>
      <x:c r="Q8" s="8" t="n">
        <x:f>SUM('项目月度'!Q8,'项目月度'!Q17,'项目月度'!Q26,'项目月度'!Q35,'项目月度'!Q44,'项目月度'!Q53,'项目月度'!Q62,'项目月度'!Q71,'项目月度'!Q80,'项目月度'!Q89,'项目月度'!Q98,'项目月度'!Q107,'项目月度'!Q116,'项目月度'!Q125,'项目月度'!Q134,'项目月度'!Q143,'项目月度'!Q152,'项目月度'!Q161,'项目月度'!Q170,'项目月度'!Q179)</x:f>
        <x:v>36</x:v>
      </x:c>
      <x:c r="R8" s="8" t="n">
        <x:f>SUM('项目月度'!R8,'项目月度'!R17,'项目月度'!R26,'项目月度'!R35,'项目月度'!R44,'项目月度'!R53,'项目月度'!R62,'项目月度'!R71,'项目月度'!R80,'项目月度'!R89,'项目月度'!R98,'项目月度'!R107,'项目月度'!R116,'项目月度'!R125,'项目月度'!R134,'项目月度'!R143,'项目月度'!R152,'项目月度'!R161,'项目月度'!R170,'项目月度'!R179)</x:f>
        <x:v>0</x:v>
      </x:c>
      <x:c r="S8" s="8" t="n">
        <x:f>SUM('项目月度'!S8,'项目月度'!S17,'项目月度'!S26,'项目月度'!S35,'项目月度'!S44,'项目月度'!S53,'项目月度'!S62,'项目月度'!S71,'项目月度'!S80,'项目月度'!S89,'项目月度'!S98,'项目月度'!S107,'项目月度'!S116,'项目月度'!S125,'项目月度'!S134,'项目月度'!S143,'项目月度'!S152,'项目月度'!S161,'项目月度'!S170,'项目月度'!S179)</x:f>
        <x:v>0</x:v>
      </x:c>
      <x:c r="T8" s="8" t="n">
        <x:f>SUM('项目月度'!T8,'项目月度'!T17,'项目月度'!T26,'项目月度'!T35,'项目月度'!T44,'项目月度'!T53,'项目月度'!T62,'项目月度'!T71,'项目月度'!T80,'项目月度'!T89,'项目月度'!T98,'项目月度'!T107,'项目月度'!T116,'项目月度'!T125,'项目月度'!T134,'项目月度'!T143,'项目月度'!T152,'项目月度'!T161,'项目月度'!T170,'项目月度'!T179)</x:f>
        <x:v>0</x:v>
      </x:c>
      <x:c r="U8" s="8" t="n">
        <x:f>SUM('项目月度'!U8,'项目月度'!U17,'项目月度'!U26,'项目月度'!U35,'项目月度'!U44,'项目月度'!U53,'项目月度'!U62,'项目月度'!U71,'项目月度'!U80,'项目月度'!U89,'项目月度'!U98,'项目月度'!U107,'项目月度'!U116,'项目月度'!U125,'项目月度'!U134,'项目月度'!U143,'项目月度'!U152,'项目月度'!U161,'项目月度'!U170,'项目月度'!U179)</x:f>
        <x:v>0</x:v>
      </x:c>
      <x:c r="V8" s="8" t="n">
        <x:f>SUM('项目月度'!V8,'项目月度'!V17,'项目月度'!V26,'项目月度'!V35,'项目月度'!V44,'项目月度'!V53,'项目月度'!V62,'项目月度'!V71,'项目月度'!V80,'项目月度'!V89,'项目月度'!V98,'项目月度'!V107,'项目月度'!V116,'项目月度'!V125,'项目月度'!V134,'项目月度'!V143,'项目月度'!V152,'项目月度'!V161,'项目月度'!V170,'项目月度'!V179)</x:f>
        <x:v>0</x:v>
      </x:c>
      <x:c r="W8" s="8" t="n">
        <x:f>SUM('项目月度'!W8,'项目月度'!W17,'项目月度'!W26,'项目月度'!W35,'项目月度'!W44,'项目月度'!W53,'项目月度'!W62,'项目月度'!W71,'项目月度'!W80,'项目月度'!W89,'项目月度'!W98,'项目月度'!W107,'项目月度'!W116,'项目月度'!W125,'项目月度'!W134,'项目月度'!W143,'项目月度'!W152,'项目月度'!W161,'项目月度'!W170,'项目月度'!W179)</x:f>
        <x:v>0</x:v>
      </x:c>
      <x:c r="X8" s="8" t="n">
        <x:f>SUM('项目月度'!X8,'项目月度'!X17,'项目月度'!X26,'项目月度'!X35,'项目月度'!X44,'项目月度'!X53,'项目月度'!X62,'项目月度'!X71,'项目月度'!X80,'项目月度'!X89,'项目月度'!X98,'项目月度'!X107,'项目月度'!X116,'项目月度'!X125,'项目月度'!X134,'项目月度'!X143,'项目月度'!X152,'项目月度'!X161,'项目月度'!X170,'项目月度'!X179)</x:f>
        <x:v>0</x:v>
      </x:c>
      <x:c r="Y8" s="8" t="n">
        <x:f>SUM('项目月度'!Y8,'项目月度'!Y17,'项目月度'!Y26,'项目月度'!Y35,'项目月度'!Y44,'项目月度'!Y53,'项目月度'!Y62,'项目月度'!Y71,'项目月度'!Y80,'项目月度'!Y89,'项目月度'!Y98,'项目月度'!Y107,'项目月度'!Y116,'项目月度'!Y125,'项目月度'!Y134,'项目月度'!Y143,'项目月度'!Y152,'项目月度'!Y161,'项目月度'!Y170,'项目月度'!Y179)</x:f>
        <x:v>0</x:v>
      </x:c>
      <x:c r="Z8" s="8" t="n">
        <x:f>SUM('项目月度'!Z8,'项目月度'!Z17,'项目月度'!Z26,'项目月度'!Z35,'项目月度'!Z44,'项目月度'!Z53,'项目月度'!Z62,'项目月度'!Z71,'项目月度'!Z80,'项目月度'!Z89,'项目月度'!Z98,'项目月度'!Z107,'项目月度'!Z116,'项目月度'!Z125,'项目月度'!Z134,'项目月度'!Z143,'项目月度'!Z152,'项目月度'!Z161,'项目月度'!Z170,'项目月度'!Z179)</x:f>
        <x:v>0</x:v>
      </x:c>
      <x:c r="AA8" s="8" t="n">
        <x:f>SUM('项目月度'!AA8,'项目月度'!AA17,'项目月度'!AA26,'项目月度'!AA35,'项目月度'!AA44,'项目月度'!AA53,'项目月度'!AA62,'项目月度'!AA71,'项目月度'!AA80,'项目月度'!AA89,'项目月度'!AA98,'项目月度'!AA107,'项目月度'!AA116,'项目月度'!AA125,'项目月度'!AA134,'项目月度'!AA143,'项目月度'!AA152,'项目月度'!AA161,'项目月度'!AA170,'项目月度'!AA179)</x:f>
        <x:v>0</x:v>
      </x:c>
      <x:c r="AB8" s="8" t="n">
        <x:f>SUM('项目月度'!AB8,'项目月度'!AB17,'项目月度'!AB26,'项目月度'!AB35,'项目月度'!AB44,'项目月度'!AB53,'项目月度'!AB62,'项目月度'!AB71,'项目月度'!AB80,'项目月度'!AB89,'项目月度'!AB98,'项目月度'!AB107,'项目月度'!AB116,'项目月度'!AB125,'项目月度'!AB134,'项目月度'!AB143,'项目月度'!AB152,'项目月度'!AB161,'项目月度'!AB170,'项目月度'!AB179)</x:f>
        <x:v>0</x:v>
      </x:c>
    </x:row>
    <x:row r="9" ht="23" customHeight="1">
      <x:c r="A9" s="1"/>
      <x:c r="B9" s="1"/>
      <x:c r="C9" s="1" t="str">
        <x:v>实际回款</x:v>
      </x:c>
      <x:c r="D9" s="2" t="n">
        <x:f>SUM(E9:P9)</x:f>
        <x:v>375.5</x:v>
      </x:c>
      <x:c r="E9" s="8" t="n">
        <x:f>SUM('项目月度'!E9,'项目月度'!E18,'项目月度'!E27,'项目月度'!E36,'项目月度'!E45,'项目月度'!E54,'项目月度'!E63,'项目月度'!E72,'项目月度'!E81,'项目月度'!E90,'项目月度'!E99,'项目月度'!E108,'项目月度'!E117,'项目月度'!E126,'项目月度'!E135,'项目月度'!E144,'项目月度'!E153,'项目月度'!E162,'项目月度'!E171,'项目月度'!E180)</x:f>
        <x:v>0</x:v>
      </x:c>
      <x:c r="F9" s="8" t="n">
        <x:f>SUM('项目月度'!F9,'项目月度'!F18,'项目月度'!F27,'项目月度'!F36,'项目月度'!F45,'项目月度'!F54,'项目月度'!F63,'项目月度'!F72,'项目月度'!F81,'项目月度'!F90,'项目月度'!F99,'项目月度'!F108,'项目月度'!F117,'项目月度'!F126,'项目月度'!F135,'项目月度'!F144,'项目月度'!F153,'项目月度'!F162,'项目月度'!F171,'项目月度'!F180)</x:f>
        <x:v>0</x:v>
      </x:c>
      <x:c r="G9" s="8" t="n">
        <x:f>SUM('项目月度'!G9,'项目月度'!G18,'项目月度'!G27,'项目月度'!G36,'项目月度'!G45,'项目月度'!G54,'项目月度'!G63,'项目月度'!G72,'项目月度'!G81,'项目月度'!G90,'项目月度'!G99,'项目月度'!G108,'项目月度'!G117,'项目月度'!G126,'项目月度'!G135,'项目月度'!G144,'项目月度'!G153,'项目月度'!G162,'项目月度'!G171,'项目月度'!G180)</x:f>
        <x:v>0</x:v>
      </x:c>
      <x:c r="H9" s="8" t="n">
        <x:f>SUM('项目月度'!H9,'项目月度'!H18,'项目月度'!H27,'项目月度'!H36,'项目月度'!H45,'项目月度'!H54,'项目月度'!H63,'项目月度'!H72,'项目月度'!H81,'项目月度'!H90,'项目月度'!H99,'项目月度'!H108,'项目月度'!H117,'项目月度'!H126,'项目月度'!H135,'项目月度'!H144,'项目月度'!H153,'项目月度'!H162,'项目月度'!H171,'项目月度'!H180)</x:f>
        <x:v>2.4</x:v>
      </x:c>
      <x:c r="I9" s="8" t="n">
        <x:f>SUM('项目月度'!I9,'项目月度'!I18,'项目月度'!I27,'项目月度'!I36,'项目月度'!I45,'项目月度'!I54,'项目月度'!I63,'项目月度'!I72,'项目月度'!I81,'项目月度'!I90,'项目月度'!I99,'项目月度'!I108,'项目月度'!I117,'项目月度'!I126,'项目月度'!I135,'项目月度'!I144,'项目月度'!I153,'项目月度'!I162,'项目月度'!I171,'项目月度'!I180)</x:f>
        <x:v>8</x:v>
      </x:c>
      <x:c r="J9" s="8" t="n">
        <x:f>SUM('项目月度'!J9,'项目月度'!J18,'项目月度'!J27,'项目月度'!J36,'项目月度'!J45,'项目月度'!J54,'项目月度'!J63,'项目月度'!J72,'项目月度'!J81,'项目月度'!J90,'项目月度'!J99,'项目月度'!J108,'项目月度'!J117,'项目月度'!J126,'项目月度'!J135,'项目月度'!J144,'项目月度'!J153,'项目月度'!J162,'项目月度'!J171,'项目月度'!J180)</x:f>
        <x:v>8</x:v>
      </x:c>
      <x:c r="K9" s="8" t="n">
        <x:f>SUM('项目月度'!K9,'项目月度'!K18,'项目月度'!K27,'项目月度'!K36,'项目月度'!K45,'项目月度'!K54,'项目月度'!K63,'项目月度'!K72,'项目月度'!K81,'项目月度'!K90,'项目月度'!K99,'项目月度'!K108,'项目月度'!K117,'项目月度'!K126,'项目月度'!K135,'项目月度'!K144,'项目月度'!K153,'项目月度'!K162,'项目月度'!K171,'项目月度'!K180)</x:f>
        <x:v>60.5</x:v>
      </x:c>
      <x:c r="L9" s="8" t="n">
        <x:f>SUM('项目月度'!L9,'项目月度'!L18,'项目月度'!L27,'项目月度'!L36,'项目月度'!L45,'项目月度'!L54,'项目月度'!L63,'项目月度'!L72,'项目月度'!L81,'项目月度'!L90,'项目月度'!L99,'项目月度'!L108,'项目月度'!L117,'项目月度'!L126,'项目月度'!L135,'项目月度'!L144,'项目月度'!L153,'项目月度'!L162,'项目月度'!L171,'项目月度'!L180)</x:f>
        <x:v>24.5</x:v>
      </x:c>
      <x:c r="M9" s="8" t="n">
        <x:f>SUM('项目月度'!M9,'项目月度'!M18,'项目月度'!M27,'项目月度'!M36,'项目月度'!M45,'项目月度'!M54,'项目月度'!M63,'项目月度'!M72,'项目月度'!M81,'项目月度'!M90,'项目月度'!M99,'项目月度'!M108,'项目月度'!M117,'项目月度'!M126,'项目月度'!M135,'项目月度'!M144,'项目月度'!M153,'项目月度'!M162,'项目月度'!M171,'项目月度'!M180)</x:f>
        <x:v>46.5</x:v>
      </x:c>
      <x:c r="N9" s="8" t="n">
        <x:f>SUM('项目月度'!N9,'项目月度'!N18,'项目月度'!N27,'项目月度'!N36,'项目月度'!N45,'项目月度'!N54,'项目月度'!N63,'项目月度'!N72,'项目月度'!N81,'项目月度'!N90,'项目月度'!N99,'项目月度'!N108,'项目月度'!N117,'项目月度'!N126,'项目月度'!N135,'项目月度'!N144,'项目月度'!N153,'项目月度'!N162,'项目月度'!N171,'项目月度'!N180)</x:f>
        <x:v>111</x:v>
      </x:c>
      <x:c r="O9" s="8" t="n">
        <x:f>SUM('项目月度'!O9,'项目月度'!O18,'项目月度'!O27,'项目月度'!O36,'项目月度'!O45,'项目月度'!O54,'项目月度'!O63,'项目月度'!O72,'项目月度'!O81,'项目月度'!O90,'项目月度'!O99,'项目月度'!O108,'项目月度'!O117,'项目月度'!O126,'项目月度'!O135,'项目月度'!O144,'项目月度'!O153,'项目月度'!O162,'项目月度'!O171,'项目月度'!O180)</x:f>
        <x:v>58.5</x:v>
      </x:c>
      <x:c r="P9" s="8" t="n">
        <x:f>SUM('项目月度'!P9,'项目月度'!P18,'项目月度'!P27,'项目月度'!P36,'项目月度'!P45,'项目月度'!P54,'项目月度'!P63,'项目月度'!P72,'项目月度'!P81,'项目月度'!P90,'项目月度'!P99,'项目月度'!P108,'项目月度'!P117,'项目月度'!P126,'项目月度'!P135,'项目月度'!P144,'项目月度'!P153,'项目月度'!P162,'项目月度'!P171,'项目月度'!P180)</x:f>
        <x:v>56.1</x:v>
      </x:c>
      <x:c r="Q9" s="8" t="n">
        <x:f>SUM('项目月度'!Q9,'项目月度'!Q18,'项目月度'!Q27,'项目月度'!Q36,'项目月度'!Q45,'项目月度'!Q54,'项目月度'!Q63,'项目月度'!Q72,'项目月度'!Q81,'项目月度'!Q90,'项目月度'!Q99,'项目月度'!Q108,'项目月度'!Q117,'项目月度'!Q126,'项目月度'!Q135,'项目月度'!Q144,'项目月度'!Q153,'项目月度'!Q162,'项目月度'!Q171,'项目月度'!Q180)</x:f>
        <x:v>64.5</x:v>
      </x:c>
      <x:c r="R9" s="8" t="n">
        <x:f>SUM('项目月度'!R9,'项目月度'!R18,'项目月度'!R27,'项目月度'!R36,'项目月度'!R45,'项目月度'!R54,'项目月度'!R63,'项目月度'!R72,'项目月度'!R81,'项目月度'!R90,'项目月度'!R99,'项目月度'!R108,'项目月度'!R117,'项目月度'!R126,'项目月度'!R135,'项目月度'!R144,'项目月度'!R153,'项目月度'!R162,'项目月度'!R171,'项目月度'!R180)</x:f>
        <x:v>36</x:v>
      </x:c>
      <x:c r="S9" s="8" t="n">
        <x:f>SUM('项目月度'!S9,'项目月度'!S18,'项目月度'!S27,'项目月度'!S36,'项目月度'!S45,'项目月度'!S54,'项目月度'!S63,'项目月度'!S72,'项目月度'!S81,'项目月度'!S90,'项目月度'!S99,'项目月度'!S108,'项目月度'!S117,'项目月度'!S126,'项目月度'!S135,'项目月度'!S144,'项目月度'!S153,'项目月度'!S162,'项目月度'!S171,'项目月度'!S180)</x:f>
        <x:v>0</x:v>
      </x:c>
      <x:c r="T9" s="8" t="n">
        <x:f>SUM('项目月度'!T9,'项目月度'!T18,'项目月度'!T27,'项目月度'!T36,'项目月度'!T45,'项目月度'!T54,'项目月度'!T63,'项目月度'!T72,'项目月度'!T81,'项目月度'!T90,'项目月度'!T99,'项目月度'!T108,'项目月度'!T117,'项目月度'!T126,'项目月度'!T135,'项目月度'!T144,'项目月度'!T153,'项目月度'!T162,'项目月度'!T171,'项目月度'!T180)</x:f>
        <x:v>0</x:v>
      </x:c>
      <x:c r="U9" s="8" t="n">
        <x:f>SUM('项目月度'!U9,'项目月度'!U18,'项目月度'!U27,'项目月度'!U36,'项目月度'!U45,'项目月度'!U54,'项目月度'!U63,'项目月度'!U72,'项目月度'!U81,'项目月度'!U90,'项目月度'!U99,'项目月度'!U108,'项目月度'!U117,'项目月度'!U126,'项目月度'!U135,'项目月度'!U144,'项目月度'!U153,'项目月度'!U162,'项目月度'!U171,'项目月度'!U180)</x:f>
        <x:v>0</x:v>
      </x:c>
      <x:c r="V9" s="8" t="n">
        <x:f>SUM('项目月度'!V9,'项目月度'!V18,'项目月度'!V27,'项目月度'!V36,'项目月度'!V45,'项目月度'!V54,'项目月度'!V63,'项目月度'!V72,'项目月度'!V81,'项目月度'!V90,'项目月度'!V99,'项目月度'!V108,'项目月度'!V117,'项目月度'!V126,'项目月度'!V135,'项目月度'!V144,'项目月度'!V153,'项目月度'!V162,'项目月度'!V171,'项目月度'!V180)</x:f>
        <x:v>0</x:v>
      </x:c>
      <x:c r="W9" s="8" t="n">
        <x:f>SUM('项目月度'!W9,'项目月度'!W18,'项目月度'!W27,'项目月度'!W36,'项目月度'!W45,'项目月度'!W54,'项目月度'!W63,'项目月度'!W72,'项目月度'!W81,'项目月度'!W90,'项目月度'!W99,'项目月度'!W108,'项目月度'!W117,'项目月度'!W126,'项目月度'!W135,'项目月度'!W144,'项目月度'!W153,'项目月度'!W162,'项目月度'!W171,'项目月度'!W180)</x:f>
        <x:v>0</x:v>
      </x:c>
      <x:c r="X9" s="8" t="n">
        <x:f>SUM('项目月度'!X9,'项目月度'!X18,'项目月度'!X27,'项目月度'!X36,'项目月度'!X45,'项目月度'!X54,'项目月度'!X63,'项目月度'!X72,'项目月度'!X81,'项目月度'!X90,'项目月度'!X99,'项目月度'!X108,'项目月度'!X117,'项目月度'!X126,'项目月度'!X135,'项目月度'!X144,'项目月度'!X153,'项目月度'!X162,'项目月度'!X171,'项目月度'!X180)</x:f>
        <x:v>0</x:v>
      </x:c>
      <x:c r="Y9" s="8" t="n">
        <x:f>SUM('项目月度'!Y9,'项目月度'!Y18,'项目月度'!Y27,'项目月度'!Y36,'项目月度'!Y45,'项目月度'!Y54,'项目月度'!Y63,'项目月度'!Y72,'项目月度'!Y81,'项目月度'!Y90,'项目月度'!Y99,'项目月度'!Y108,'项目月度'!Y117,'项目月度'!Y126,'项目月度'!Y135,'项目月度'!Y144,'项目月度'!Y153,'项目月度'!Y162,'项目月度'!Y171,'项目月度'!Y180)</x:f>
        <x:v>0</x:v>
      </x:c>
      <x:c r="Z9" s="8" t="n">
        <x:f>SUM('项目月度'!Z9,'项目月度'!Z18,'项目月度'!Z27,'项目月度'!Z36,'项目月度'!Z45,'项目月度'!Z54,'项目月度'!Z63,'项目月度'!Z72,'项目月度'!Z81,'项目月度'!Z90,'项目月度'!Z99,'项目月度'!Z108,'项目月度'!Z117,'项目月度'!Z126,'项目月度'!Z135,'项目月度'!Z144,'项目月度'!Z153,'项目月度'!Z162,'项目月度'!Z171,'项目月度'!Z180)</x:f>
        <x:v>0</x:v>
      </x:c>
      <x:c r="AA9" s="8" t="n">
        <x:f>SUM('项目月度'!AA9,'项目月度'!AA18,'项目月度'!AA27,'项目月度'!AA36,'项目月度'!AA45,'项目月度'!AA54,'项目月度'!AA63,'项目月度'!AA72,'项目月度'!AA81,'项目月度'!AA90,'项目月度'!AA99,'项目月度'!AA108,'项目月度'!AA117,'项目月度'!AA126,'项目月度'!AA135,'项目月度'!AA144,'项目月度'!AA153,'项目月度'!AA162,'项目月度'!AA171,'项目月度'!AA180)</x:f>
        <x:v>0</x:v>
      </x:c>
      <x:c r="AB9" s="8" t="n">
        <x:f>SUM('项目月度'!AB9,'项目月度'!AB18,'项目月度'!AB27,'项目月度'!AB36,'项目月度'!AB45,'项目月度'!AB54,'项目月度'!AB63,'项目月度'!AB72,'项目月度'!AB81,'项目月度'!AB90,'项目月度'!AB99,'项目月度'!AB108,'项目月度'!AB117,'项目月度'!AB126,'项目月度'!AB135,'项目月度'!AB144,'项目月度'!AB153,'项目月度'!AB162,'项目月度'!AB171,'项目月度'!AB180)</x:f>
        <x:v>0</x:v>
      </x:c>
    </x:row>
    <x:row r="10" ht="23" customHeight="1">
      <x:c r="A10" s="1"/>
      <x:c r="B10" s="1"/>
      <x:c r="C10" s="1" t="str">
        <x:v>直接损益成本</x:v>
      </x:c>
      <x:c r="D10" s="2" t="n">
        <x:f>SUM(E10:P10)</x:f>
        <x:v>216.4</x:v>
      </x:c>
      <x:c r="E10" s="8" t="n">
        <x:f>SUM('项目月度'!E10,'项目月度'!E19,'项目月度'!E28,'项目月度'!E37,'项目月度'!E46,'项目月度'!E55,'项目月度'!E64,'项目月度'!E73,'项目月度'!E82,'项目月度'!E91,'项目月度'!E100,'项目月度'!E109,'项目月度'!E118,'项目月度'!E127,'项目月度'!E136,'项目月度'!E145,'项目月度'!E154,'项目月度'!E163,'项目月度'!E172,'项目月度'!E181)</x:f>
        <x:v>0</x:v>
      </x:c>
      <x:c r="F10" s="8" t="n">
        <x:f>SUM('项目月度'!F10,'项目月度'!F19,'项目月度'!F28,'项目月度'!F37,'项目月度'!F46,'项目月度'!F55,'项目月度'!F64,'项目月度'!F73,'项目月度'!F82,'项目月度'!F91,'项目月度'!F100,'项目月度'!F109,'项目月度'!F118,'项目月度'!F127,'项目月度'!F136,'项目月度'!F145,'项目月度'!F154,'项目月度'!F163,'项目月度'!F172,'项目月度'!F181)</x:f>
        <x:v>0</x:v>
      </x:c>
      <x:c r="G10" s="8" t="n">
        <x:f>SUM('项目月度'!G10,'项目月度'!G19,'项目月度'!G28,'项目月度'!G37,'项目月度'!G46,'项目月度'!G55,'项目月度'!G64,'项目月度'!G73,'项目月度'!G82,'项目月度'!G91,'项目月度'!G100,'项目月度'!G109,'项目月度'!G118,'项目月度'!G127,'项目月度'!G136,'项目月度'!G145,'项目月度'!G154,'项目月度'!G163,'项目月度'!G172,'项目月度'!G181)</x:f>
        <x:v>0.4</x:v>
      </x:c>
      <x:c r="H10" s="8" t="n">
        <x:f>SUM('项目月度'!H10,'项目月度'!H19,'项目月度'!H28,'项目月度'!H37,'项目月度'!H46,'项目月度'!H55,'项目月度'!H64,'项目月度'!H73,'项目月度'!H82,'项目月度'!H91,'项目月度'!H100,'项目月度'!H109,'项目月度'!H118,'项目月度'!H127,'项目月度'!H136,'项目月度'!H145,'项目月度'!H154,'项目月度'!H163,'项目月度'!H172,'项目月度'!H181)</x:f>
        <x:v>4.1000000000000005</x:v>
      </x:c>
      <x:c r="I10" s="8" t="n">
        <x:f>SUM('项目月度'!I10,'项目月度'!I19,'项目月度'!I28,'项目月度'!I37,'项目月度'!I46,'项目月度'!I55,'项目月度'!I64,'项目月度'!I73,'项目月度'!I82,'项目月度'!I91,'项目月度'!I100,'项目月度'!I109,'项目月度'!I118,'项目月度'!I127,'项目月度'!I136,'项目月度'!I145,'项目月度'!I154,'项目月度'!I163,'项目月度'!I172,'项目月度'!I181)</x:f>
        <x:v>4.1000000000000005</x:v>
      </x:c>
      <x:c r="J10" s="8" t="n">
        <x:f>SUM('项目月度'!J10,'项目月度'!J19,'项目月度'!J28,'项目月度'!J37,'项目月度'!J46,'项目月度'!J55,'项目月度'!J64,'项目月度'!J73,'项目月度'!J82,'项目月度'!J91,'项目月度'!J100,'项目月度'!J109,'项目月度'!J118,'项目月度'!J127,'项目月度'!J136,'项目月度'!J145,'项目月度'!J154,'项目月度'!J163,'项目月度'!J172,'项目月度'!J181)</x:f>
        <x:v>14.650000000000002</x:v>
      </x:c>
      <x:c r="K10" s="8" t="n">
        <x:f>SUM('项目月度'!K10,'项目月度'!K19,'项目月度'!K28,'项目月度'!K37,'项目月度'!K46,'项目月度'!K55,'项目月度'!K64,'项目月度'!K73,'项目月度'!K82,'项目月度'!K91,'项目月度'!K100,'项目月度'!K109,'项目月度'!K118,'项目月度'!K127,'项目月度'!K136,'项目月度'!K145,'项目月度'!K154,'项目月度'!K163,'项目月度'!K172,'项目月度'!K181)</x:f>
        <x:v>7.450000000000001</x:v>
      </x:c>
      <x:c r="L10" s="8" t="n">
        <x:f>SUM('项目月度'!L10,'项目月度'!L19,'项目月度'!L28,'项目月度'!L37,'项目月度'!L46,'项目月度'!L55,'项目月度'!L64,'项目月度'!L73,'项目月度'!L82,'项目月度'!L91,'项目月度'!L100,'项目月度'!L109,'项目月度'!L118,'项目月度'!L127,'项目月度'!L136,'项目月度'!L145,'项目月度'!L154,'项目月度'!L163,'项目月度'!L172,'项目月度'!L181)</x:f>
        <x:v>7.450000000000001</x:v>
      </x:c>
      <x:c r="M10" s="8" t="n">
        <x:f>SUM('项目月度'!M10,'项目月度'!M19,'项目月度'!M28,'项目月度'!M37,'项目月度'!M46,'项目月度'!M55,'项目月度'!M64,'项目月度'!M73,'项目月度'!M82,'项目月度'!M91,'项目月度'!M100,'项目月度'!M109,'项目月度'!M118,'项目月度'!M127,'项目月度'!M136,'项目月度'!M145,'项目月度'!M154,'项目月度'!M163,'项目月度'!M172,'项目月度'!M181)</x:f>
        <x:v>32.85</x:v>
      </x:c>
      <x:c r="N10" s="8" t="n">
        <x:f>SUM('项目月度'!N10,'项目月度'!N19,'项目月度'!N28,'项目月度'!N37,'项目月度'!N46,'项目月度'!N55,'项目月度'!N64,'项目月度'!N73,'项目月度'!N82,'项目月度'!N91,'项目月度'!N100,'项目月度'!N109,'项目月度'!N118,'项目月度'!N127,'项目月度'!N136,'项目月度'!N145,'项目月度'!N154,'项目月度'!N163,'项目月度'!N172,'项目月度'!N181)</x:f>
        <x:v>29.799999999999997</x:v>
      </x:c>
      <x:c r="O10" s="8" t="n">
        <x:f>SUM('项目月度'!O10,'项目月度'!O19,'项目月度'!O28,'项目月度'!O37,'项目月度'!O46,'项目月度'!O55,'项目月度'!O64,'项目月度'!O73,'项目月度'!O82,'项目月度'!O91,'项目月度'!O100,'项目月度'!O109,'项目月度'!O118,'项目月度'!O127,'项目月度'!O136,'项目月度'!O145,'项目月度'!O154,'项目月度'!O163,'项目月度'!O172,'项目月度'!O181)</x:f>
        <x:v>29.7</x:v>
      </x:c>
      <x:c r="P10" s="8" t="n">
        <x:f>SUM('项目月度'!P10,'项目月度'!P19,'项目月度'!P28,'项目月度'!P37,'项目月度'!P46,'项目月度'!P55,'项目月度'!P64,'项目月度'!P73,'项目月度'!P82,'项目月度'!P91,'项目月度'!P100,'项目月度'!P109,'项目月度'!P118,'项目月度'!P127,'项目月度'!P136,'项目月度'!P145,'项目月度'!P154,'项目月度'!P163,'项目月度'!P172,'项目月度'!P181)</x:f>
        <x:v>85.9</x:v>
      </x:c>
      <x:c r="Q10" s="8" t="n">
        <x:f>SUM('项目月度'!Q10,'项目月度'!Q19,'项目月度'!Q28,'项目月度'!Q37,'项目月度'!Q46,'项目月度'!Q55,'项目月度'!Q64,'项目月度'!Q73,'项目月度'!Q82,'项目月度'!Q91,'项目月度'!Q100,'项目月度'!Q109,'项目月度'!Q118,'项目月度'!Q127,'项目月度'!Q136,'项目月度'!Q145,'项目月度'!Q154,'项目月度'!Q163,'项目月度'!Q172,'项目月度'!Q181)</x:f>
        <x:v>1.7999999999999998</x:v>
      </x:c>
      <x:c r="R10" s="8" t="n">
        <x:f>SUM('项目月度'!R10,'项目月度'!R19,'项目月度'!R28,'项目月度'!R37,'项目月度'!R46,'项目月度'!R55,'项目月度'!R64,'项目月度'!R73,'项目月度'!R82,'项目月度'!R91,'项目月度'!R100,'项目月度'!R109,'项目月度'!R118,'项目月度'!R127,'项目月度'!R136,'项目月度'!R145,'项目月度'!R154,'项目月度'!R163,'项目月度'!R172,'项目月度'!R181)</x:f>
        <x:v>1.7999999999999998</x:v>
      </x:c>
      <x:c r="S10" s="8" t="n">
        <x:f>SUM('项目月度'!S10,'项目月度'!S19,'项目月度'!S28,'项目月度'!S37,'项目月度'!S46,'项目月度'!S55,'项目月度'!S64,'项目月度'!S73,'项目月度'!S82,'项目月度'!S91,'项目月度'!S100,'项目月度'!S109,'项目月度'!S118,'项目月度'!S127,'项目月度'!S136,'项目月度'!S145,'项目月度'!S154,'项目月度'!S163,'项目月度'!S172,'项目月度'!S181)</x:f>
        <x:v>1.7999999999999998</x:v>
      </x:c>
      <x:c r="T10" s="8" t="n">
        <x:f>SUM('项目月度'!T10,'项目月度'!T19,'项目月度'!T28,'项目月度'!T37,'项目月度'!T46,'项目月度'!T55,'项目月度'!T64,'项目月度'!T73,'项目月度'!T82,'项目月度'!T91,'项目月度'!T100,'项目月度'!T109,'项目月度'!T118,'项目月度'!T127,'项目月度'!T136,'项目月度'!T145,'项目月度'!T154,'项目月度'!T163,'项目月度'!T172,'项目月度'!T181)</x:f>
        <x:v>1.7999999999999998</x:v>
      </x:c>
      <x:c r="U10" s="8" t="n">
        <x:f>SUM('项目月度'!U10,'项目月度'!U19,'项目月度'!U28,'项目月度'!U37,'项目月度'!U46,'项目月度'!U55,'项目月度'!U64,'项目月度'!U73,'项目月度'!U82,'项目月度'!U91,'项目月度'!U100,'项目月度'!U109,'项目月度'!U118,'项目月度'!U127,'项目月度'!U136,'项目月度'!U145,'项目月度'!U154,'项目月度'!U163,'项目月度'!U172,'项目月度'!U181)</x:f>
        <x:v>1.7999999999999998</x:v>
      </x:c>
      <x:c r="V10" s="8" t="n">
        <x:f>SUM('项目月度'!V10,'项目月度'!V19,'项目月度'!V28,'项目月度'!V37,'项目月度'!V46,'项目月度'!V55,'项目月度'!V64,'项目月度'!V73,'项目月度'!V82,'项目月度'!V91,'项目月度'!V100,'项目月度'!V109,'项目月度'!V118,'项目月度'!V127,'项目月度'!V136,'项目月度'!V145,'项目月度'!V154,'项目月度'!V163,'项目月度'!V172,'项目月度'!V181)</x:f>
        <x:v>1.7999999999999998</x:v>
      </x:c>
      <x:c r="W10" s="8" t="n">
        <x:f>SUM('项目月度'!W10,'项目月度'!W19,'项目月度'!W28,'项目月度'!W37,'项目月度'!W46,'项目月度'!W55,'项目月度'!W64,'项目月度'!W73,'项目月度'!W82,'项目月度'!W91,'项目月度'!W100,'项目月度'!W109,'项目月度'!W118,'项目月度'!W127,'项目月度'!W136,'项目月度'!W145,'项目月度'!W154,'项目月度'!W163,'项目月度'!W172,'项目月度'!W181)</x:f>
        <x:v>1.7999999999999998</x:v>
      </x:c>
      <x:c r="X10" s="8" t="n">
        <x:f>SUM('项目月度'!X10,'项目月度'!X19,'项目月度'!X28,'项目月度'!X37,'项目月度'!X46,'项目月度'!X55,'项目月度'!X64,'项目月度'!X73,'项目月度'!X82,'项目月度'!X91,'项目月度'!X100,'项目月度'!X109,'项目月度'!X118,'项目月度'!X127,'项目月度'!X136,'项目月度'!X145,'项目月度'!X154,'项目月度'!X163,'项目月度'!X172,'项目月度'!X181)</x:f>
        <x:v>1.7999999999999998</x:v>
      </x:c>
      <x:c r="Y10" s="8" t="n">
        <x:f>SUM('项目月度'!Y10,'项目月度'!Y19,'项目月度'!Y28,'项目月度'!Y37,'项目月度'!Y46,'项目月度'!Y55,'项目月度'!Y64,'项目月度'!Y73,'项目月度'!Y82,'项目月度'!Y91,'项目月度'!Y100,'项目月度'!Y109,'项目月度'!Y118,'项目月度'!Y127,'项目月度'!Y136,'项目月度'!Y145,'项目月度'!Y154,'项目月度'!Y163,'项目月度'!Y172,'项目月度'!Y181)</x:f>
        <x:v>1.7999999999999998</x:v>
      </x:c>
      <x:c r="Z10" s="8" t="n">
        <x:f>SUM('项目月度'!Z10,'项目月度'!Z19,'项目月度'!Z28,'项目月度'!Z37,'项目月度'!Z46,'项目月度'!Z55,'项目月度'!Z64,'项目月度'!Z73,'项目月度'!Z82,'项目月度'!Z91,'项目月度'!Z100,'项目月度'!Z109,'项目月度'!Z118,'项目月度'!Z127,'项目月度'!Z136,'项目月度'!Z145,'项目月度'!Z154,'项目月度'!Z163,'项目月度'!Z172,'项目月度'!Z181)</x:f>
        <x:v>1.5</x:v>
      </x:c>
      <x:c r="AA10" s="8" t="n">
        <x:f>SUM('项目月度'!AA10,'项目月度'!AA19,'项目月度'!AA28,'项目月度'!AA37,'项目月度'!AA46,'项目月度'!AA55,'项目月度'!AA64,'项目月度'!AA73,'项目月度'!AA82,'项目月度'!AA91,'项目月度'!AA100,'项目月度'!AA109,'项目月度'!AA118,'项目月度'!AA127,'项目月度'!AA136,'项目月度'!AA145,'项目月度'!AA154,'项目月度'!AA163,'项目月度'!AA172,'项目月度'!AA181)</x:f>
        <x:v>1.2</x:v>
      </x:c>
      <x:c r="AB10" s="8" t="n">
        <x:f>SUM('项目月度'!AB10,'项目月度'!AB19,'项目月度'!AB28,'项目月度'!AB37,'项目月度'!AB46,'项目月度'!AB55,'项目月度'!AB64,'项目月度'!AB73,'项目月度'!AB82,'项目月度'!AB91,'项目月度'!AB100,'项目月度'!AB109,'项目月度'!AB118,'项目月度'!AB127,'项目月度'!AB136,'项目月度'!AB145,'项目月度'!AB154,'项目月度'!AB163,'项目月度'!AB172,'项目月度'!AB181)</x:f>
        <x:v>0.8999999999999999</x:v>
      </x:c>
    </x:row>
    <x:row r="11" ht="23" customHeight="1">
      <x:c r="A11" s="1"/>
      <x:c r="B11" s="1"/>
      <x:c r="C11" s="1" t="str">
        <x:v>毛利</x:v>
      </x:c>
      <x:c r="D11" s="2" t="n">
        <x:f>SUM(E11:P11)</x:f>
        <x:v>193.59999999999997</x:v>
      </x:c>
      <x:c r="E11" s="2" t="n">
        <x:f>E7-E10</x:f>
        <x:v>0</x:v>
      </x:c>
      <x:c r="F11" s="2" t="n">
        <x:f>F7-F10</x:f>
        <x:v>0</x:v>
      </x:c>
      <x:c r="G11" s="2" t="n">
        <x:f>G7-G10</x:f>
        <x:v>-0.4</x:v>
      </x:c>
      <x:c r="H11" s="2" t="n">
        <x:f>H7-H10</x:f>
        <x:v>3.8999999999999995</x:v>
      </x:c>
      <x:c r="I11" s="2" t="n">
        <x:f>I7-I10</x:f>
        <x:v>3.8999999999999995</x:v>
      </x:c>
      <x:c r="J11" s="2" t="n">
        <x:f>J7-J10</x:f>
        <x:v>-6.650000000000002</x:v>
      </x:c>
      <x:c r="K11" s="2" t="n">
        <x:f>K7-K10</x:f>
        <x:v>0.5499999999999989</x:v>
      </x:c>
      <x:c r="L11" s="2" t="n">
        <x:f>L7-L10</x:f>
        <x:v>0.5499999999999989</x:v>
      </x:c>
      <x:c r="M11" s="2" t="n">
        <x:f>M7-M10</x:f>
        <x:v>30.15</x:v>
      </x:c>
      <x:c r="N11" s="2" t="n">
        <x:f>N7-N10</x:f>
        <x:v>34.2</x:v>
      </x:c>
      <x:c r="O11" s="2" t="n">
        <x:f>O7-O10</x:f>
        <x:v>35.3</x:v>
      </x:c>
      <x:c r="P11" s="2" t="n">
        <x:f>P7-P10</x:f>
        <x:v>92.1</x:v>
      </x:c>
      <x:c r="Q11" s="2" t="n">
        <x:f>Q7-Q10</x:f>
        <x:v>4.2</x:v>
      </x:c>
      <x:c r="R11" s="2" t="n">
        <x:f>R7-R10</x:f>
        <x:v>4.2</x:v>
      </x:c>
      <x:c r="S11" s="2" t="n">
        <x:f>S7-S10</x:f>
        <x:v>4.2</x:v>
      </x:c>
      <x:c r="T11" s="2" t="n">
        <x:f>T7-T10</x:f>
        <x:v>4.2</x:v>
      </x:c>
      <x:c r="U11" s="2" t="n">
        <x:f>U7-U10</x:f>
        <x:v>4.2</x:v>
      </x:c>
      <x:c r="V11" s="2" t="n">
        <x:f>V7-V10</x:f>
        <x:v>4.2</x:v>
      </x:c>
      <x:c r="W11" s="2" t="n">
        <x:f>W7-W10</x:f>
        <x:v>4.2</x:v>
      </x:c>
      <x:c r="X11" s="2" t="n">
        <x:f>X7-X10</x:f>
        <x:v>4.2</x:v>
      </x:c>
      <x:c r="Y11" s="2" t="n">
        <x:f>Y7-Y10</x:f>
        <x:v>4.2</x:v>
      </x:c>
      <x:c r="Z11" s="2" t="n">
        <x:f>Z7-Z10</x:f>
        <x:v>3.5</x:v>
      </x:c>
      <x:c r="AA11" s="2" t="n">
        <x:f>AA7-AA10</x:f>
        <x:v>2.8</x:v>
      </x:c>
      <x:c r="AB11" s="2" t="n">
        <x:f>AB7-AB10</x:f>
        <x:v>2.1</x:v>
      </x:c>
    </x:row>
    <x:row r="12" ht="23" customHeight="1">
      <x:c r="A12" s="1"/>
      <x:c r="B12" s="1"/>
      <x:c r="C12" s="1" t="str">
        <x:v>本地团队成本</x:v>
      </x:c>
      <x:c r="D12" s="2" t="n">
        <x:f>SUM(E12:P12)</x:f>
        <x:v>73.72125255275698</x:v>
      </x:c>
      <x:c r="E12" s="8" t="n">
        <x:f>SUM('费用预算'!L6:L11)</x:f>
        <x:v>2.253029271613342</x:v>
      </x:c>
      <x:c r="F12" s="8" t="n">
        <x:f>SUM('费用预算'!M6:M11)</x:f>
        <x:v>4.614635806671204</x:v>
      </x:c>
      <x:c r="G12" s="8" t="n">
        <x:f>SUM('费用预算'!N6:N11)</x:f>
        <x:v>5.622635806671204</x:v>
      </x:c>
      <x:c r="H12" s="8" t="n">
        <x:f>SUM('费用预算'!O6:O11)</x:f>
        <x:v>6.803439074200136</x:v>
      </x:c>
      <x:c r="I12" s="8" t="n">
        <x:f>SUM('费用预算'!P6:P11)</x:f>
        <x:v>6.803439074200136</x:v>
      </x:c>
      <x:c r="J12" s="8" t="n">
        <x:f>SUM('费用预算'!Q6:Q11)</x:f>
        <x:v>6.803439074200136</x:v>
      </x:c>
      <x:c r="K12" s="8" t="n">
        <x:f>SUM('费用预算'!R6:R11)</x:f>
        <x:v>6.803439074200136</x:v>
      </x:c>
      <x:c r="L12" s="8" t="n">
        <x:f>SUM('费用预算'!S6:S11)</x:f>
        <x:v>6.803439074200136</x:v>
      </x:c>
      <x:c r="M12" s="8" t="n">
        <x:f>SUM('费用预算'!T6:T11)</x:f>
        <x:v>6.803439074200136</x:v>
      </x:c>
      <x:c r="N12" s="8" t="n">
        <x:f>SUM('费用预算'!U6:U11)</x:f>
        <x:v>6.803439074200136</x:v>
      </x:c>
      <x:c r="O12" s="8" t="n">
        <x:f>SUM('费用预算'!V6:V11)</x:f>
        <x:v>6.803439074200136</x:v>
      </x:c>
      <x:c r="P12" s="8" t="n">
        <x:f>SUM('费用预算'!W6:W11)</x:f>
        <x:v>6.803439074200136</x:v>
      </x:c>
      <x:c r="Q12" s="2" t="n">
        <x:f>0</x:f>
        <x:v>0</x:v>
      </x:c>
      <x:c r="R12" s="2" t="n">
        <x:f>0</x:f>
        <x:v>0</x:v>
      </x:c>
      <x:c r="S12" s="2" t="n">
        <x:f>0</x:f>
        <x:v>0</x:v>
      </x:c>
      <x:c r="T12" s="2" t="n">
        <x:f>0</x:f>
        <x:v>0</x:v>
      </x:c>
      <x:c r="U12" s="2" t="n">
        <x:f>0</x:f>
        <x:v>0</x:v>
      </x:c>
      <x:c r="V12" s="2" t="n">
        <x:f>0</x:f>
        <x:v>0</x:v>
      </x:c>
      <x:c r="W12" s="2" t="n">
        <x:f>0</x:f>
        <x:v>0</x:v>
      </x:c>
      <x:c r="X12" s="2" t="n">
        <x:f>0</x:f>
        <x:v>0</x:v>
      </x:c>
      <x:c r="Y12" s="2" t="n">
        <x:f>0</x:f>
        <x:v>0</x:v>
      </x:c>
      <x:c r="Z12" s="2" t="n">
        <x:f>0</x:f>
        <x:v>0</x:v>
      </x:c>
      <x:c r="AA12" s="2" t="n">
        <x:f>0</x:f>
        <x:v>0</x:v>
      </x:c>
      <x:c r="AB12" s="2" t="n">
        <x:f>0</x:f>
        <x:v>0</x:v>
      </x:c>
    </x:row>
    <x:row r="13" ht="23" customHeight="1">
      <x:c r="A13" s="1"/>
      <x:c r="B13" s="1"/>
      <x:c r="C13" s="1" t="str">
        <x:v>固定非人力费用</x:v>
      </x:c>
      <x:c r="D13" s="2" t="n">
        <x:f>SUM(E13:P13)</x:f>
        <x:v>50.79999999999997</x:v>
      </x:c>
      <x:c r="E13" s="8" t="n">
        <x:f>SUM('费用预算'!L15:L20)</x:f>
        <x:v>9.066666666666666</x:v>
      </x:c>
      <x:c r="F13" s="8" t="n">
        <x:f>SUM('费用预算'!M15:M20)</x:f>
        <x:v>10.4</x:v>
      </x:c>
      <x:c r="G13" s="8" t="n">
        <x:f>SUM('费用预算'!N15:N20)</x:f>
        <x:v>5.3999999999999995</x:v>
      </x:c>
      <x:c r="H13" s="8" t="n">
        <x:f>SUM('费用预算'!O15:O20)</x:f>
        <x:v>5.3999999999999995</x:v>
      </x:c>
      <x:c r="I13" s="8" t="n">
        <x:f>SUM('费用预算'!P15:P20)</x:f>
        <x:v>4.066666666666666</x:v>
      </x:c>
      <x:c r="J13" s="8" t="n">
        <x:f>SUM('费用预算'!Q15:Q20)</x:f>
        <x:v>4.066666666666666</x:v>
      </x:c>
      <x:c r="K13" s="8" t="n">
        <x:f>SUM('费用预算'!R15:R20)</x:f>
        <x:v>2.0666666666666664</x:v>
      </x:c>
      <x:c r="L13" s="8" t="n">
        <x:f>SUM('费用预算'!S15:S20)</x:f>
        <x:v>2.0666666666666664</x:v>
      </x:c>
      <x:c r="M13" s="8" t="n">
        <x:f>SUM('费用预算'!T15:T20)</x:f>
        <x:v>2.0666666666666664</x:v>
      </x:c>
      <x:c r="N13" s="8" t="n">
        <x:f>SUM('费用预算'!U15:U20)</x:f>
        <x:v>2.0666666666666664</x:v>
      </x:c>
      <x:c r="O13" s="8" t="n">
        <x:f>SUM('费用预算'!V15:V20)</x:f>
        <x:v>2.0666666666666664</x:v>
      </x:c>
      <x:c r="P13" s="8" t="n">
        <x:f>SUM('费用预算'!W15:W20)</x:f>
        <x:v>2.0666666666666664</x:v>
      </x:c>
      <x:c r="Q13" s="2" t="n">
        <x:f>0</x:f>
        <x:v>0</x:v>
      </x:c>
      <x:c r="R13" s="2" t="n">
        <x:f>0</x:f>
        <x:v>0</x:v>
      </x:c>
      <x:c r="S13" s="2" t="n">
        <x:f>0</x:f>
        <x:v>0</x:v>
      </x:c>
      <x:c r="T13" s="2" t="n">
        <x:f>0</x:f>
        <x:v>0</x:v>
      </x:c>
      <x:c r="U13" s="2" t="n">
        <x:f>0</x:f>
        <x:v>0</x:v>
      </x:c>
      <x:c r="V13" s="2" t="n">
        <x:f>0</x:f>
        <x:v>0</x:v>
      </x:c>
      <x:c r="W13" s="2" t="n">
        <x:f>0</x:f>
        <x:v>0</x:v>
      </x:c>
      <x:c r="X13" s="2" t="n">
        <x:f>0</x:f>
        <x:v>0</x:v>
      </x:c>
      <x:c r="Y13" s="2" t="n">
        <x:f>0</x:f>
        <x:v>0</x:v>
      </x:c>
      <x:c r="Z13" s="2" t="n">
        <x:f>0</x:f>
        <x:v>0</x:v>
      </x:c>
      <x:c r="AA13" s="2" t="n">
        <x:f>0</x:f>
        <x:v>0</x:v>
      </x:c>
      <x:c r="AB13" s="2" t="n">
        <x:f>0</x:f>
        <x:v>0</x:v>
      </x:c>
    </x:row>
    <x:row r="14" ht="23" customHeight="1">
      <x:c r="A14" s="1"/>
      <x:c r="B14" s="1"/>
      <x:c r="C14" s="1" t="str">
        <x:v>固定费用合计</x:v>
      </x:c>
      <x:c r="D14" s="2" t="n">
        <x:f>SUM(E14:P14)</x:f>
        <x:v>124.52125255275699</x:v>
      </x:c>
      <x:c r="E14" s="2" t="n">
        <x:f>SUM(E12:E13)</x:f>
        <x:v>11.31969593828001</x:v>
      </x:c>
      <x:c r="F14" s="2" t="n">
        <x:f>SUM(F12:F13)</x:f>
        <x:v>15.014635806671205</x:v>
      </x:c>
      <x:c r="G14" s="2" t="n">
        <x:f>SUM(G12:G13)</x:f>
        <x:v>11.022635806671204</x:v>
      </x:c>
      <x:c r="H14" s="2" t="n">
        <x:f>SUM(H12:H13)</x:f>
        <x:v>12.203439074200135</x:v>
      </x:c>
      <x:c r="I14" s="2" t="n">
        <x:f>SUM(I12:I13)</x:f>
        <x:v>10.870105740866801</x:v>
      </x:c>
      <x:c r="J14" s="2" t="n">
        <x:f>SUM(J12:J13)</x:f>
        <x:v>10.870105740866801</x:v>
      </x:c>
      <x:c r="K14" s="2" t="n">
        <x:f>SUM(K12:K13)</x:f>
        <x:v>8.870105740866801</x:v>
      </x:c>
      <x:c r="L14" s="2" t="n">
        <x:f>SUM(L12:L13)</x:f>
        <x:v>8.870105740866801</x:v>
      </x:c>
      <x:c r="M14" s="2" t="n">
        <x:f>SUM(M12:M13)</x:f>
        <x:v>8.870105740866801</x:v>
      </x:c>
      <x:c r="N14" s="2" t="n">
        <x:f>SUM(N12:N13)</x:f>
        <x:v>8.870105740866801</x:v>
      </x:c>
      <x:c r="O14" s="2" t="n">
        <x:f>SUM(O12:O13)</x:f>
        <x:v>8.870105740866801</x:v>
      </x:c>
      <x:c r="P14" s="2" t="n">
        <x:f>SUM(P12:P13)</x:f>
        <x:v>8.870105740866801</x:v>
      </x:c>
      <x:c r="Q14" s="2" t="n">
        <x:f>SUM(Q12:Q13)</x:f>
        <x:v>0</x:v>
      </x:c>
      <x:c r="R14" s="2" t="n">
        <x:f>SUM(R12:R13)</x:f>
        <x:v>0</x:v>
      </x:c>
      <x:c r="S14" s="2" t="n">
        <x:f>SUM(S12:S13)</x:f>
        <x:v>0</x:v>
      </x:c>
      <x:c r="T14" s="2" t="n">
        <x:f>SUM(T12:T13)</x:f>
        <x:v>0</x:v>
      </x:c>
      <x:c r="U14" s="2" t="n">
        <x:f>SUM(U12:U13)</x:f>
        <x:v>0</x:v>
      </x:c>
      <x:c r="V14" s="2" t="n">
        <x:f>SUM(V12:V13)</x:f>
        <x:v>0</x:v>
      </x:c>
      <x:c r="W14" s="2" t="n">
        <x:f>SUM(W12:W13)</x:f>
        <x:v>0</x:v>
      </x:c>
      <x:c r="X14" s="2" t="n">
        <x:f>SUM(X12:X13)</x:f>
        <x:v>0</x:v>
      </x:c>
      <x:c r="Y14" s="2" t="n">
        <x:f>SUM(Y12:Y13)</x:f>
        <x:v>0</x:v>
      </x:c>
      <x:c r="Z14" s="2" t="n">
        <x:f>SUM(Z12:Z13)</x:f>
        <x:v>0</x:v>
      </x:c>
      <x:c r="AA14" s="2" t="n">
        <x:f>SUM(AA12:AA13)</x:f>
        <x:v>0</x:v>
      </x:c>
      <x:c r="AB14" s="2" t="n">
        <x:f>SUM(AB12:AB13)</x:f>
        <x:v>0</x:v>
      </x:c>
    </x:row>
    <x:row r="15" ht="23" customHeight="1">
      <x:c r="A15" s="1"/>
      <x:c r="B15" s="1"/>
      <x:c r="C15" s="1" t="str">
        <x:v>经营贡献</x:v>
      </x:c>
      <x:c r="D15" s="2" t="n">
        <x:f>SUM(E15:P15)</x:f>
        <x:v>69.07874744724302</x:v>
      </x:c>
      <x:c r="E15" s="2" t="n">
        <x:f>E11-E14</x:f>
        <x:v>-11.31969593828001</x:v>
      </x:c>
      <x:c r="F15" s="2" t="n">
        <x:f>F11-F14</x:f>
        <x:v>-15.014635806671205</x:v>
      </x:c>
      <x:c r="G15" s="2" t="n">
        <x:f>G11-G14</x:f>
        <x:v>-11.422635806671204</x:v>
      </x:c>
      <x:c r="H15" s="2" t="n">
        <x:f>H11-H14</x:f>
        <x:v>-8.303439074200135</x:v>
      </x:c>
      <x:c r="I15" s="2" t="n">
        <x:f>I11-I14</x:f>
        <x:v>-6.970105740866802</x:v>
      </x:c>
      <x:c r="J15" s="2" t="n">
        <x:f>J11-J14</x:f>
        <x:v>-17.520105740866804</x:v>
      </x:c>
      <x:c r="K15" s="2" t="n">
        <x:f>K11-K14</x:f>
        <x:v>-8.320105740866802</x:v>
      </x:c>
      <x:c r="L15" s="2" t="n">
        <x:f>L11-L14</x:f>
        <x:v>-8.320105740866802</x:v>
      </x:c>
      <x:c r="M15" s="2" t="n">
        <x:f>M11-M14</x:f>
        <x:v>21.279894259133197</x:v>
      </x:c>
      <x:c r="N15" s="2" t="n">
        <x:f>N11-N14</x:f>
        <x:v>25.3298942591332</x:v>
      </x:c>
      <x:c r="O15" s="2" t="n">
        <x:f>O11-O14</x:f>
        <x:v>26.429894259133196</x:v>
      </x:c>
      <x:c r="P15" s="2" t="n">
        <x:f>P11-P14</x:f>
        <x:v>83.22989425913319</x:v>
      </x:c>
      <x:c r="Q15" s="2" t="n">
        <x:f>Q11-Q14</x:f>
        <x:v>4.2</x:v>
      </x:c>
      <x:c r="R15" s="2" t="n">
        <x:f>R11-R14</x:f>
        <x:v>4.2</x:v>
      </x:c>
      <x:c r="S15" s="2" t="n">
        <x:f>S11-S14</x:f>
        <x:v>4.2</x:v>
      </x:c>
      <x:c r="T15" s="2" t="n">
        <x:f>T11-T14</x:f>
        <x:v>4.2</x:v>
      </x:c>
      <x:c r="U15" s="2" t="n">
        <x:f>U11-U14</x:f>
        <x:v>4.2</x:v>
      </x:c>
      <x:c r="V15" s="2" t="n">
        <x:f>V11-V14</x:f>
        <x:v>4.2</x:v>
      </x:c>
      <x:c r="W15" s="2" t="n">
        <x:f>W11-W14</x:f>
        <x:v>4.2</x:v>
      </x:c>
      <x:c r="X15" s="2" t="n">
        <x:f>X11-X14</x:f>
        <x:v>4.2</x:v>
      </x:c>
      <x:c r="Y15" s="2" t="n">
        <x:f>Y11-Y14</x:f>
        <x:v>4.2</x:v>
      </x:c>
      <x:c r="Z15" s="2" t="n">
        <x:f>Z11-Z14</x:f>
        <x:v>3.5</x:v>
      </x:c>
      <x:c r="AA15" s="2" t="n">
        <x:f>AA11-AA14</x:f>
        <x:v>2.8</x:v>
      </x:c>
      <x:c r="AB15" s="2" t="n">
        <x:f>AB11-AB14</x:f>
        <x:v>2.1</x:v>
      </x:c>
    </x:row>
    <x:row r="16" ht="23" customHeight="1">
      <x:c r="A16" s="1"/>
      <x:c r="B16" s="1"/>
      <x:c r="C16" s="1" t="str">
        <x:v>直接现金成本</x:v>
      </x:c>
      <x:c r="D16" s="2" t="n">
        <x:f>SUM(E16:P16)</x:f>
        <x:v>211.37500000000003</x:v>
      </x:c>
      <x:c r="E16" s="8" t="n">
        <x:f>SUM('项目月度'!E11,'项目月度'!E20,'项目月度'!E29,'项目月度'!E38,'项目月度'!E47,'项目月度'!E56,'项目月度'!E65,'项目月度'!E74,'项目月度'!E83,'项目月度'!E92,'项目月度'!E101,'项目月度'!E110,'项目月度'!E119,'项目月度'!E128,'项目月度'!E137,'项目月度'!E146,'项目月度'!E155,'项目月度'!E164,'项目月度'!E173,'项目月度'!E182)</x:f>
        <x:v>0</x:v>
      </x:c>
      <x:c r="F16" s="8" t="n">
        <x:f>SUM('项目月度'!F11,'项目月度'!F20,'项目月度'!F29,'项目月度'!F38,'项目月度'!F47,'项目月度'!F56,'项目月度'!F65,'项目月度'!F74,'项目月度'!F83,'项目月度'!F92,'项目月度'!F101,'项目月度'!F110,'项目月度'!F119,'项目月度'!F128,'项目月度'!F137,'项目月度'!F146,'项目月度'!F155,'项目月度'!F164,'项目月度'!F173,'项目月度'!F182)</x:f>
        <x:v>0</x:v>
      </x:c>
      <x:c r="G16" s="8" t="n">
        <x:f>SUM('项目月度'!G11,'项目月度'!G20,'项目月度'!G29,'项目月度'!G38,'项目月度'!G47,'项目月度'!G56,'项目月度'!G65,'项目月度'!G74,'项目月度'!G83,'项目月度'!G92,'项目月度'!G101,'项目月度'!G110,'项目月度'!G119,'项目月度'!G128,'项目月度'!G137,'项目月度'!G146,'项目月度'!G155,'项目月度'!G164,'项目月度'!G173,'项目月度'!G182)</x:f>
        <x:v>1.85</x:v>
      </x:c>
      <x:c r="H16" s="8" t="n">
        <x:f>SUM('项目月度'!H11,'项目月度'!H20,'项目月度'!H29,'项目月度'!H38,'项目月度'!H47,'项目月度'!H56,'项目月度'!H65,'项目月度'!H74,'项目月度'!H83,'项目月度'!H92,'项目月度'!H101,'项目月度'!H110,'项目月度'!H119,'项目月度'!H128,'项目月度'!H137,'项目月度'!H146,'项目月度'!H155,'项目月度'!H164,'项目月度'!H173,'项目月度'!H182)</x:f>
        <x:v>3.8200000000000003</x:v>
      </x:c>
      <x:c r="I16" s="8" t="n">
        <x:f>SUM('项目月度'!I11,'项目月度'!I20,'项目月度'!I29,'项目月度'!I38,'项目月度'!I47,'项目月度'!I56,'项目月度'!I65,'项目月度'!I74,'项目月度'!I83,'项目月度'!I92,'项目月度'!I101,'项目月度'!I110,'项目月度'!I119,'项目月度'!I128,'项目月度'!I137,'项目月度'!I146,'项目月度'!I155,'项目月度'!I164,'项目月度'!I173,'项目月度'!I182)</x:f>
        <x:v>4.1</x:v>
      </x:c>
      <x:c r="J16" s="8" t="n">
        <x:f>SUM('项目月度'!J11,'项目月度'!J20,'项目月度'!J29,'项目月度'!J38,'项目月度'!J47,'项目月度'!J56,'项目月度'!J65,'项目月度'!J74,'项目月度'!J83,'项目月度'!J92,'项目月度'!J101,'项目月度'!J110,'项目月度'!J119,'项目月度'!J128,'项目月度'!J137,'项目月度'!J146,'项目月度'!J155,'项目月度'!J164,'项目月度'!J173,'项目月度'!J182)</x:f>
        <x:v>18.964285714285715</x:v>
      </x:c>
      <x:c r="K16" s="8" t="n">
        <x:f>SUM('项目月度'!K11,'项目月度'!K20,'项目月度'!K29,'项目月度'!K38,'项目月度'!K47,'项目月度'!K56,'项目月度'!K65,'项目月度'!K74,'项目月度'!K83,'项目月度'!K92,'项目月度'!K101,'项目月度'!K110,'项目月度'!K119,'项目月度'!K128,'项目月度'!K137,'项目月度'!K146,'项目月度'!K155,'项目月度'!K164,'项目月度'!K173,'项目月度'!K182)</x:f>
        <x:v>27.939285714285717</x:v>
      </x:c>
      <x:c r="L16" s="8" t="n">
        <x:f>SUM('项目月度'!L11,'项目月度'!L20,'项目月度'!L29,'项目月度'!L38,'项目月度'!L47,'项目月度'!L56,'项目月度'!L65,'项目月度'!L74,'项目月度'!L83,'项目月度'!L92,'项目月度'!L101,'项目月度'!L110,'项目月度'!L119,'项目月度'!L128,'项目月度'!L137,'项目月度'!L146,'项目月度'!L155,'项目月度'!L164,'项目月度'!L173,'项目月度'!L182)</x:f>
        <x:v>32.489285714285714</x:v>
      </x:c>
      <x:c r="M16" s="8" t="n">
        <x:f>SUM('项目月度'!M11,'项目月度'!M20,'项目月度'!M29,'项目月度'!M38,'项目月度'!M47,'项目月度'!M56,'项目月度'!M65,'项目月度'!M74,'项目月度'!M83,'项目月度'!M92,'项目月度'!M101,'项目月度'!M110,'项目月度'!M119,'项目月度'!M128,'项目月度'!M137,'项目月度'!M146,'项目月度'!M155,'项目月度'!M164,'项目月度'!M173,'项目月度'!M182)</x:f>
        <x:v>39.93928571428571</x:v>
      </x:c>
      <x:c r="N16" s="8" t="n">
        <x:f>SUM('项目月度'!N11,'项目月度'!N20,'项目月度'!N29,'项目月度'!N38,'项目月度'!N47,'项目月度'!N56,'项目月度'!N65,'项目月度'!N74,'项目月度'!N83,'项目月度'!N92,'项目月度'!N101,'项目月度'!N110,'项目月度'!N119,'项目月度'!N128,'项目月度'!N137,'项目月度'!N146,'项目月度'!N155,'项目月度'!N164,'项目月度'!N173,'项目月度'!N182)</x:f>
        <x:v>37.114285714285714</x:v>
      </x:c>
      <x:c r="O16" s="8" t="n">
        <x:f>SUM('项目月度'!O11,'项目月度'!O20,'项目月度'!O29,'项目月度'!O38,'项目月度'!O47,'项目月度'!O56,'项目月度'!O65,'项目月度'!O74,'项目月度'!O83,'项目月度'!O92,'项目月度'!O101,'项目月度'!O110,'项目月度'!O119,'项目月度'!O128,'项目月度'!O137,'项目月度'!O146,'项目月度'!O155,'项目月度'!O164,'项目月度'!O173,'项目月度'!O182)</x:f>
        <x:v>26.589285714285715</x:v>
      </x:c>
      <x:c r="P16" s="8" t="n">
        <x:f>SUM('项目月度'!P11,'项目月度'!P20,'项目月度'!P29,'项目月度'!P38,'项目月度'!P47,'项目月度'!P56,'项目月度'!P65,'项目月度'!P74,'项目月度'!P83,'项目月度'!P92,'项目月度'!P101,'项目月度'!P110,'项目月度'!P119,'项目月度'!P128,'项目月度'!P137,'项目月度'!P146,'项目月度'!P155,'项目月度'!P164,'项目月度'!P173,'项目月度'!P182)</x:f>
        <x:v>18.569285714285712</x:v>
      </x:c>
      <x:c r="Q16" s="8" t="n">
        <x:f>SUM('项目月度'!Q11,'项目月度'!Q20,'项目月度'!Q29,'项目月度'!Q38,'项目月度'!Q47,'项目月度'!Q56,'项目月度'!Q65,'项目月度'!Q74,'项目月度'!Q83,'项目月度'!Q92,'项目月度'!Q101,'项目月度'!Q110,'项目月度'!Q119,'项目月度'!Q128,'项目月度'!Q137,'项目月度'!Q146,'项目月度'!Q155,'项目月度'!Q164,'项目月度'!Q173,'项目月度'!Q182)</x:f>
        <x:v>5.025</x:v>
      </x:c>
      <x:c r="R16" s="8" t="n">
        <x:f>SUM('项目月度'!R11,'项目月度'!R20,'项目月度'!R29,'项目月度'!R38,'项目月度'!R47,'项目月度'!R56,'项目月度'!R65,'项目月度'!R74,'项目月度'!R83,'项目月度'!R92,'项目月度'!R101,'项目月度'!R110,'项目月度'!R119,'项目月度'!R128,'项目月度'!R137,'项目月度'!R146,'项目月度'!R155,'项目月度'!R164,'项目月度'!R173,'项目月度'!R182)</x:f>
        <x:v>3.6000000000000005</x:v>
      </x:c>
      <x:c r="S16" s="8" t="n">
        <x:f>SUM('项目月度'!S11,'项目月度'!S20,'项目月度'!S29,'项目月度'!S38,'项目月度'!S47,'项目月度'!S56,'项目月度'!S65,'项目月度'!S74,'项目月度'!S83,'项目月度'!S92,'项目月度'!S101,'项目月度'!S110,'项目月度'!S119,'项目月度'!S128,'项目月度'!S137,'项目月度'!S146,'项目月度'!S155,'项目月度'!S164,'项目月度'!S173,'项目月度'!S182)</x:f>
        <x:v>1.7999999999999998</x:v>
      </x:c>
      <x:c r="T16" s="8" t="n">
        <x:f>SUM('项目月度'!T11,'项目月度'!T20,'项目月度'!T29,'项目月度'!T38,'项目月度'!T47,'项目月度'!T56,'项目月度'!T65,'项目月度'!T74,'项目月度'!T83,'项目月度'!T92,'项目月度'!T101,'项目月度'!T110,'项目月度'!T119,'项目月度'!T128,'项目月度'!T137,'项目月度'!T146,'项目月度'!T155,'项目月度'!T164,'项目月度'!T173,'项目月度'!T182)</x:f>
        <x:v>1.7999999999999998</x:v>
      </x:c>
      <x:c r="U16" s="8" t="n">
        <x:f>SUM('项目月度'!U11,'项目月度'!U20,'项目月度'!U29,'项目月度'!U38,'项目月度'!U47,'项目月度'!U56,'项目月度'!U65,'项目月度'!U74,'项目月度'!U83,'项目月度'!U92,'项目月度'!U101,'项目月度'!U110,'项目月度'!U119,'项目月度'!U128,'项目月度'!U137,'项目月度'!U146,'项目月度'!U155,'项目月度'!U164,'项目月度'!U173,'项目月度'!U182)</x:f>
        <x:v>1.7999999999999998</x:v>
      </x:c>
      <x:c r="V16" s="8" t="n">
        <x:f>SUM('项目月度'!V11,'项目月度'!V20,'项目月度'!V29,'项目月度'!V38,'项目月度'!V47,'项目月度'!V56,'项目月度'!V65,'项目月度'!V74,'项目月度'!V83,'项目月度'!V92,'项目月度'!V101,'项目月度'!V110,'项目月度'!V119,'项目月度'!V128,'项目月度'!V137,'项目月度'!V146,'项目月度'!V155,'项目月度'!V164,'项目月度'!V173,'项目月度'!V182)</x:f>
        <x:v>1.7999999999999998</x:v>
      </x:c>
      <x:c r="W16" s="8" t="n">
        <x:f>SUM('项目月度'!W11,'项目月度'!W20,'项目月度'!W29,'项目月度'!W38,'项目月度'!W47,'项目月度'!W56,'项目月度'!W65,'项目月度'!W74,'项目月度'!W83,'项目月度'!W92,'项目月度'!W101,'项目月度'!W110,'项目月度'!W119,'项目月度'!W128,'项目月度'!W137,'项目月度'!W146,'项目月度'!W155,'项目月度'!W164,'项目月度'!W173,'项目月度'!W182)</x:f>
        <x:v>1.7999999999999998</x:v>
      </x:c>
      <x:c r="X16" s="8" t="n">
        <x:f>SUM('项目月度'!X11,'项目月度'!X20,'项目月度'!X29,'项目月度'!X38,'项目月度'!X47,'项目月度'!X56,'项目月度'!X65,'项目月度'!X74,'项目月度'!X83,'项目月度'!X92,'项目月度'!X101,'项目月度'!X110,'项目月度'!X119,'项目月度'!X128,'项目月度'!X137,'项目月度'!X146,'项目月度'!X155,'项目月度'!X164,'项目月度'!X173,'项目月度'!X182)</x:f>
        <x:v>1.7999999999999998</x:v>
      </x:c>
      <x:c r="Y16" s="8" t="n">
        <x:f>SUM('项目月度'!Y11,'项目月度'!Y20,'项目月度'!Y29,'项目月度'!Y38,'项目月度'!Y47,'项目月度'!Y56,'项目月度'!Y65,'项目月度'!Y74,'项目月度'!Y83,'项目月度'!Y92,'项目月度'!Y101,'项目月度'!Y110,'项目月度'!Y119,'项目月度'!Y128,'项目月度'!Y137,'项目月度'!Y146,'项目月度'!Y155,'项目月度'!Y164,'项目月度'!Y173,'项目月度'!Y182)</x:f>
        <x:v>1.7999999999999998</x:v>
      </x:c>
      <x:c r="Z16" s="8" t="n">
        <x:f>SUM('项目月度'!Z11,'项目月度'!Z20,'项目月度'!Z29,'项目月度'!Z38,'项目月度'!Z47,'项目月度'!Z56,'项目月度'!Z65,'项目月度'!Z74,'项目月度'!Z83,'项目月度'!Z92,'项目月度'!Z101,'项目月度'!Z110,'项目月度'!Z119,'项目月度'!Z128,'项目月度'!Z137,'项目月度'!Z146,'项目月度'!Z155,'项目月度'!Z164,'项目月度'!Z173,'项目月度'!Z182)</x:f>
        <x:v>1.5</x:v>
      </x:c>
      <x:c r="AA16" s="8" t="n">
        <x:f>SUM('项目月度'!AA11,'项目月度'!AA20,'项目月度'!AA29,'项目月度'!AA38,'项目月度'!AA47,'项目月度'!AA56,'项目月度'!AA65,'项目月度'!AA74,'项目月度'!AA83,'项目月度'!AA92,'项目月度'!AA101,'项目月度'!AA110,'项目月度'!AA119,'项目月度'!AA128,'项目月度'!AA137,'项目月度'!AA146,'项目月度'!AA155,'项目月度'!AA164,'项目月度'!AA173,'项目月度'!AA182)</x:f>
        <x:v>1.2</x:v>
      </x:c>
      <x:c r="AB16" s="8" t="n">
        <x:f>SUM('项目月度'!AB11,'项目月度'!AB20,'项目月度'!AB29,'项目月度'!AB38,'项目月度'!AB47,'项目月度'!AB56,'项目月度'!AB65,'项目月度'!AB74,'项目月度'!AB83,'项目月度'!AB92,'项目月度'!AB101,'项目月度'!AB110,'项目月度'!AB119,'项目月度'!AB128,'项目月度'!AB137,'项目月度'!AB146,'项目月度'!AB155,'项目月度'!AB164,'项目月度'!AB173,'项目月度'!AB182)</x:f>
        <x:v>0.8999999999999999</x:v>
      </x:c>
    </x:row>
    <x:row r="17" ht="23" customHeight="1">
      <x:c r="A17" s="1"/>
      <x:c r="B17" s="1"/>
      <x:c r="C17" s="1" t="str">
        <x:v>现金支出</x:v>
      </x:c>
      <x:c r="D17" s="2" t="n">
        <x:f>SUM(E17:P17)</x:f>
        <x:v>335.896252552757</x:v>
      </x:c>
      <x:c r="E17" s="2" t="n">
        <x:f>E16+E14</x:f>
        <x:v>11.31969593828001</x:v>
      </x:c>
      <x:c r="F17" s="2" t="n">
        <x:f>F16+F14</x:f>
        <x:v>15.014635806671205</x:v>
      </x:c>
      <x:c r="G17" s="2" t="n">
        <x:f>G16+G14</x:f>
        <x:v>12.872635806671203</x:v>
      </x:c>
      <x:c r="H17" s="2" t="n">
        <x:f>H16+H14</x:f>
        <x:v>16.023439074200134</x:v>
      </x:c>
      <x:c r="I17" s="2" t="n">
        <x:f>I16+I14</x:f>
        <x:v>14.970105740866801</x:v>
      </x:c>
      <x:c r="J17" s="2" t="n">
        <x:f>J16+J14</x:f>
        <x:v>29.834391455152517</x:v>
      </x:c>
      <x:c r="K17" s="2" t="n">
        <x:f>K16+K14</x:f>
        <x:v>36.80939145515252</x:v>
      </x:c>
      <x:c r="L17" s="2" t="n">
        <x:f>L16+L14</x:f>
        <x:v>41.35939145515252</x:v>
      </x:c>
      <x:c r="M17" s="2" t="n">
        <x:f>M16+M14</x:f>
        <x:v>48.80939145515251</x:v>
      </x:c>
      <x:c r="N17" s="2" t="n">
        <x:f>N16+N14</x:f>
        <x:v>45.98439145515252</x:v>
      </x:c>
      <x:c r="O17" s="2" t="n">
        <x:f>O16+O14</x:f>
        <x:v>35.45939145515251</x:v>
      </x:c>
      <x:c r="P17" s="2" t="n">
        <x:f>P16+P14</x:f>
        <x:v>27.439391455152514</x:v>
      </x:c>
      <x:c r="Q17" s="2" t="n">
        <x:f>Q16+Q14</x:f>
        <x:v>5.025</x:v>
      </x:c>
      <x:c r="R17" s="2" t="n">
        <x:f>R16+R14</x:f>
        <x:v>3.6000000000000005</x:v>
      </x:c>
      <x:c r="S17" s="2" t="n">
        <x:f>S16+S14</x:f>
        <x:v>1.7999999999999998</x:v>
      </x:c>
      <x:c r="T17" s="2" t="n">
        <x:f>T16+T14</x:f>
        <x:v>1.7999999999999998</x:v>
      </x:c>
      <x:c r="U17" s="2" t="n">
        <x:f>U16+U14</x:f>
        <x:v>1.7999999999999998</x:v>
      </x:c>
      <x:c r="V17" s="2" t="n">
        <x:f>V16+V14</x:f>
        <x:v>1.7999999999999998</x:v>
      </x:c>
      <x:c r="W17" s="2" t="n">
        <x:f>W16+W14</x:f>
        <x:v>1.7999999999999998</x:v>
      </x:c>
      <x:c r="X17" s="2" t="n">
        <x:f>X16+X14</x:f>
        <x:v>1.7999999999999998</x:v>
      </x:c>
      <x:c r="Y17" s="2" t="n">
        <x:f>Y16+Y14</x:f>
        <x:v>1.7999999999999998</x:v>
      </x:c>
      <x:c r="Z17" s="2" t="n">
        <x:f>Z16+Z14</x:f>
        <x:v>1.5</x:v>
      </x:c>
      <x:c r="AA17" s="2" t="n">
        <x:f>AA16+AA14</x:f>
        <x:v>1.2</x:v>
      </x:c>
      <x:c r="AB17" s="2" t="n">
        <x:f>AB16+AB14</x:f>
        <x:v>0.8999999999999999</x:v>
      </x:c>
    </x:row>
    <x:row r="18" ht="23" customHeight="1">
      <x:c r="A18" s="1"/>
      <x:c r="B18" s="1"/>
      <x:c r="C18" s="1" t="str">
        <x:v>净现金流</x:v>
      </x:c>
      <x:c r="D18" s="2" t="n">
        <x:f>SUM(E18:P18)</x:f>
        <x:v>39.60374744724304</x:v>
      </x:c>
      <x:c r="E18" s="2" t="n">
        <x:f>E9-E17</x:f>
        <x:v>-11.31969593828001</x:v>
      </x:c>
      <x:c r="F18" s="2" t="n">
        <x:f>F9-F17</x:f>
        <x:v>-15.014635806671205</x:v>
      </x:c>
      <x:c r="G18" s="2" t="n">
        <x:f>G9-G17</x:f>
        <x:v>-12.872635806671203</x:v>
      </x:c>
      <x:c r="H18" s="2" t="n">
        <x:f>H9-H17</x:f>
        <x:v>-13.623439074200133</x:v>
      </x:c>
      <x:c r="I18" s="2" t="n">
        <x:f>I9-I17</x:f>
        <x:v>-6.970105740866801</x:v>
      </x:c>
      <x:c r="J18" s="2" t="n">
        <x:f>J9-J17</x:f>
        <x:v>-21.834391455152517</x:v>
      </x:c>
      <x:c r="K18" s="2" t="n">
        <x:f>K9-K17</x:f>
        <x:v>23.69060854484748</x:v>
      </x:c>
      <x:c r="L18" s="2" t="n">
        <x:f>L9-L17</x:f>
        <x:v>-16.85939145515252</x:v>
      </x:c>
      <x:c r="M18" s="2" t="n">
        <x:f>M9-M17</x:f>
        <x:v>-2.3093914551525074</x:v>
      </x:c>
      <x:c r="N18" s="2" t="n">
        <x:f>N9-N17</x:f>
        <x:v>65.01560854484748</x:v>
      </x:c>
      <x:c r="O18" s="2" t="n">
        <x:f>O9-O17</x:f>
        <x:v>23.040608544847487</x:v>
      </x:c>
      <x:c r="P18" s="2" t="n">
        <x:f>P9-P17</x:f>
        <x:v>28.660608544847488</x:v>
      </x:c>
      <x:c r="Q18" s="2" t="n">
        <x:f>Q9-Q17</x:f>
        <x:v>59.475</x:v>
      </x:c>
      <x:c r="R18" s="2" t="n">
        <x:f>R9-R17</x:f>
        <x:v>32.4</x:v>
      </x:c>
      <x:c r="S18" s="2" t="n">
        <x:f>S9-S17</x:f>
        <x:v>-1.7999999999999998</x:v>
      </x:c>
      <x:c r="T18" s="2" t="n">
        <x:f>T9-T17</x:f>
        <x:v>-1.7999999999999998</x:v>
      </x:c>
      <x:c r="U18" s="2" t="n">
        <x:f>U9-U17</x:f>
        <x:v>-1.7999999999999998</x:v>
      </x:c>
      <x:c r="V18" s="2" t="n">
        <x:f>V9-V17</x:f>
        <x:v>-1.7999999999999998</x:v>
      </x:c>
      <x:c r="W18" s="2" t="n">
        <x:f>W9-W17</x:f>
        <x:v>-1.7999999999999998</x:v>
      </x:c>
      <x:c r="X18" s="2" t="n">
        <x:f>X9-X17</x:f>
        <x:v>-1.7999999999999998</x:v>
      </x:c>
      <x:c r="Y18" s="2" t="n">
        <x:f>Y9-Y17</x:f>
        <x:v>-1.7999999999999998</x:v>
      </x:c>
      <x:c r="Z18" s="2" t="n">
        <x:f>Z9-Z17</x:f>
        <x:v>-1.5</x:v>
      </x:c>
      <x:c r="AA18" s="2" t="n">
        <x:f>AA9-AA17</x:f>
        <x:v>-1.2</x:v>
      </x:c>
      <x:c r="AB18" s="2" t="n">
        <x:f>AB9-AB17</x:f>
        <x:v>-0.8999999999999999</x:v>
      </x:c>
    </x:row>
    <x:row r="19" ht="23" customHeight="1">
      <x:c r="A19" s="1"/>
      <x:c r="B19" s="1"/>
      <x:c r="C19" s="1" t="str">
        <x:v>累计净现金流</x:v>
      </x:c>
      <x:c r="D19" s="2" t="n">
        <x:f>P19</x:f>
        <x:v>39.60374744724304</x:v>
      </x:c>
      <x:c r="E19" s="2" t="n">
        <x:f>E18</x:f>
        <x:v>-11.31969593828001</x:v>
      </x:c>
      <x:c r="F19" s="2" t="n">
        <x:f>F18+E19</x:f>
        <x:v>-26.334331744951214</x:v>
      </x:c>
      <x:c r="G19" s="2" t="n">
        <x:f>G18+F19</x:f>
        <x:v>-39.20696755162242</x:v>
      </x:c>
      <x:c r="H19" s="2" t="n">
        <x:f>H18+G19</x:f>
        <x:v>-52.830406625822555</x:v>
      </x:c>
      <x:c r="I19" s="2" t="n">
        <x:f>I18+H19</x:f>
        <x:v>-59.800512366689354</x:v>
      </x:c>
      <x:c r="J19" s="2" t="n">
        <x:f>J18+I19</x:f>
        <x:v>-81.63490382184187</x:v>
      </x:c>
      <x:c r="K19" s="2" t="n">
        <x:f>K18+J19</x:f>
        <x:v>-57.944295276994396</x:v>
      </x:c>
      <x:c r="L19" s="2" t="n">
        <x:f>L18+K19</x:f>
        <x:v>-74.80368673214691</x:v>
      </x:c>
      <x:c r="M19" s="2" t="n">
        <x:f>M18+L19</x:f>
        <x:v>-77.11307818729942</x:v>
      </x:c>
      <x:c r="N19" s="2" t="n">
        <x:f>N18+M19</x:f>
        <x:v>-12.09746964245194</x:v>
      </x:c>
      <x:c r="O19" s="2" t="n">
        <x:f>O18+N19</x:f>
        <x:v>10.943138902395546</x:v>
      </x:c>
      <x:c r="P19" s="2" t="n">
        <x:f>P18+O19</x:f>
        <x:v>39.60374744724304</x:v>
      </x:c>
      <x:c r="Q19" s="2" t="n">
        <x:f>Q18+P19</x:f>
        <x:v>99.07874744724305</x:v>
      </x:c>
      <x:c r="R19" s="2" t="n">
        <x:f>R18+Q19</x:f>
        <x:v>131.47874744724305</x:v>
      </x:c>
      <x:c r="S19" s="2" t="n">
        <x:f>S18+R19</x:f>
        <x:v>129.67874744724304</x:v>
      </x:c>
      <x:c r="T19" s="2" t="n">
        <x:f>T18+S19</x:f>
        <x:v>127.87874744724304</x:v>
      </x:c>
      <x:c r="U19" s="2" t="n">
        <x:f>U18+T19</x:f>
        <x:v>126.07874744724305</x:v>
      </x:c>
      <x:c r="V19" s="2" t="n">
        <x:f>V18+U19</x:f>
        <x:v>124.27874744724305</x:v>
      </x:c>
      <x:c r="W19" s="2" t="n">
        <x:f>W18+V19</x:f>
        <x:v>122.47874744724305</x:v>
      </x:c>
      <x:c r="X19" s="2" t="n">
        <x:f>X18+W19</x:f>
        <x:v>120.67874744724305</x:v>
      </x:c>
      <x:c r="Y19" s="2" t="n">
        <x:f>Y18+X19</x:f>
        <x:v>118.87874744724306</x:v>
      </x:c>
      <x:c r="Z19" s="2" t="n">
        <x:f>Z18+Y19</x:f>
        <x:v>117.37874744724306</x:v>
      </x:c>
      <x:c r="AA19" s="2" t="n">
        <x:f>AA18+Z19</x:f>
        <x:v>116.17874744724305</x:v>
      </x:c>
      <x:c r="AB19" s="2" t="n">
        <x:f>AB18+AA19</x:f>
        <x:v>115.27874744724305</x:v>
      </x:c>
    </x:row>
    <x:row r="20" ht="23" customHeight="1">
      <x:c r="A20" s="1"/>
      <x:c r="B20" s="1"/>
      <x:c r="C20" s="1" t="str">
        <x:v>有效工程人月</x:v>
      </x:c>
      <x:c r="D20" s="2" t="n">
        <x:f>SUM(E20:P20)</x:f>
        <x:v>138</x:v>
      </x:c>
      <x:c r="E20" s="8" t="n">
        <x:f>SUM('项目月度'!E12,'项目月度'!E21,'项目月度'!E30,'项目月度'!E39,'项目月度'!E48,'项目月度'!E57,'项目月度'!E66,'项目月度'!E75,'项目月度'!E84,'项目月度'!E93,'项目月度'!E102,'项目月度'!E111,'项目月度'!E120,'项目月度'!E129,'项目月度'!E138,'项目月度'!E147,'项目月度'!E156,'项目月度'!E165,'项目月度'!E174,'项目月度'!E183)</x:f>
        <x:v>0</x:v>
      </x:c>
      <x:c r="F20" s="8" t="n">
        <x:f>SUM('项目月度'!F12,'项目月度'!F21,'项目月度'!F30,'项目月度'!F39,'项目月度'!F48,'项目月度'!F57,'项目月度'!F66,'项目月度'!F75,'项目月度'!F84,'项目月度'!F93,'项目月度'!F102,'项目月度'!F111,'项目月度'!F120,'项目月度'!F129,'项目月度'!F138,'项目月度'!F147,'项目月度'!F156,'项目月度'!F165,'项目月度'!F174,'项目月度'!F183)</x:f>
        <x:v>0</x:v>
      </x:c>
      <x:c r="G20" s="8" t="n">
        <x:f>SUM('项目月度'!G12,'项目月度'!G21,'项目月度'!G30,'项目月度'!G39,'项目月度'!G48,'项目月度'!G57,'项目月度'!G66,'项目月度'!G75,'项目月度'!G84,'项目月度'!G93,'项目月度'!G102,'项目月度'!G111,'项目月度'!G120,'项目月度'!G129,'项目月度'!G138,'项目月度'!G147,'项目月度'!G156,'项目月度'!G165,'项目月度'!G174,'项目月度'!G183)</x:f>
        <x:v>1.5</x:v>
      </x:c>
      <x:c r="H20" s="8" t="n">
        <x:f>SUM('项目月度'!H12,'项目月度'!H21,'项目月度'!H30,'项目月度'!H39,'项目月度'!H48,'项目月度'!H57,'项目月度'!H66,'项目月度'!H75,'项目月度'!H84,'项目月度'!H93,'项目月度'!H102,'项目月度'!H111,'项目月度'!H120,'项目月度'!H129,'项目月度'!H138,'项目月度'!H147,'项目月度'!H156,'项目月度'!H165,'项目月度'!H174,'项目月度'!H183)</x:f>
        <x:v>3</x:v>
      </x:c>
      <x:c r="I20" s="8" t="n">
        <x:f>SUM('项目月度'!I12,'项目月度'!I21,'项目月度'!I30,'项目月度'!I39,'项目月度'!I48,'项目月度'!I57,'项目月度'!I66,'项目月度'!I75,'项目月度'!I84,'项目月度'!I93,'项目月度'!I102,'项目月度'!I111,'项目月度'!I120,'项目月度'!I129,'项目月度'!I138,'项目月度'!I147,'项目月度'!I156,'项目月度'!I165,'项目月度'!I174,'项目月度'!I183)</x:f>
        <x:v>3</x:v>
      </x:c>
      <x:c r="J20" s="8" t="n">
        <x:f>SUM('项目月度'!J12,'项目月度'!J21,'项目月度'!J30,'项目月度'!J39,'项目月度'!J48,'项目月度'!J57,'项目月度'!J66,'项目月度'!J75,'项目月度'!J84,'项目月度'!J93,'项目月度'!J102,'项目月度'!J111,'项目月度'!J120,'项目月度'!J129,'项目月度'!J138,'项目月度'!J147,'项目月度'!J156,'项目月度'!J165,'项目月度'!J174,'项目月度'!J183)</x:f>
        <x:v>13.5</x:v>
      </x:c>
      <x:c r="K20" s="8" t="n">
        <x:f>SUM('项目月度'!K12,'项目月度'!K21,'项目月度'!K30,'项目月度'!K39,'项目月度'!K48,'项目月度'!K57,'项目月度'!K66,'项目月度'!K75,'项目月度'!K84,'项目月度'!K93,'项目月度'!K102,'项目月度'!K111,'项目月度'!K120,'项目月度'!K129,'项目月度'!K138,'项目月度'!K147,'项目月度'!K156,'项目月度'!K165,'项目月度'!K174,'项目月度'!K183)</x:f>
        <x:v>18</x:v>
      </x:c>
      <x:c r="L20" s="8" t="n">
        <x:f>SUM('项目月度'!L12,'项目月度'!L21,'项目月度'!L30,'项目月度'!L39,'项目月度'!L48,'项目月度'!L57,'项目月度'!L66,'项目月度'!L75,'项目月度'!L84,'项目月度'!L93,'项目月度'!L102,'项目月度'!L111,'项目月度'!L120,'项目月度'!L129,'项目月度'!L138,'项目月度'!L147,'项目月度'!L156,'项目月度'!L165,'项目月度'!L174,'项目月度'!L183)</x:f>
        <x:v>22.5</x:v>
      </x:c>
      <x:c r="M20" s="8" t="n">
        <x:f>SUM('项目月度'!M12,'项目月度'!M21,'项目月度'!M30,'项目月度'!M39,'项目月度'!M48,'项目月度'!M57,'项目月度'!M66,'项目月度'!M75,'项目月度'!M84,'项目月度'!M93,'项目月度'!M102,'项目月度'!M111,'项目月度'!M120,'项目月度'!M129,'项目月度'!M138,'项目月度'!M147,'项目月度'!M156,'项目月度'!M165,'项目月度'!M174,'项目月度'!M183)</x:f>
        <x:v>27</x:v>
      </x:c>
      <x:c r="N20" s="8" t="n">
        <x:f>SUM('项目月度'!N12,'项目月度'!N21,'项目月度'!N30,'项目月度'!N39,'项目月度'!N48,'项目月度'!N57,'项目月度'!N66,'项目月度'!N75,'项目月度'!N84,'项目月度'!N93,'项目月度'!N102,'项目月度'!N111,'项目月度'!N120,'项目月度'!N129,'项目月度'!N138,'项目月度'!N147,'项目月度'!N156,'项目月度'!N165,'项目月度'!N174,'项目月度'!N183)</x:f>
        <x:v>22.5</x:v>
      </x:c>
      <x:c r="O20" s="8" t="n">
        <x:f>SUM('项目月度'!O12,'项目月度'!O21,'项目月度'!O30,'项目月度'!O39,'项目月度'!O48,'项目月度'!O57,'项目月度'!O66,'项目月度'!O75,'项目月度'!O84,'项目月度'!O93,'项目月度'!O102,'项目月度'!O111,'项目月度'!O120,'项目月度'!O129,'项目月度'!O138,'项目月度'!O147,'项目月度'!O156,'项目月度'!O165,'项目月度'!O174,'项目月度'!O183)</x:f>
        <x:v>16.5</x:v>
      </x:c>
      <x:c r="P20" s="8" t="n">
        <x:f>SUM('项目月度'!P12,'项目月度'!P21,'项目月度'!P30,'项目月度'!P39,'项目月度'!P48,'项目月度'!P57,'项目月度'!P66,'项目月度'!P75,'项目月度'!P84,'项目月度'!P93,'项目月度'!P102,'项目月度'!P111,'项目月度'!P120,'项目月度'!P129,'项目月度'!P138,'项目月度'!P147,'项目月度'!P156,'项目月度'!P165,'项目月度'!P174,'项目月度'!P183)</x:f>
        <x:v>10.5</x:v>
      </x:c>
      <x:c r="Q20" s="8" t="n">
        <x:f>SUM('项目月度'!Q12,'项目月度'!Q21,'项目月度'!Q30,'项目月度'!Q39,'项目月度'!Q48,'项目月度'!Q57,'项目月度'!Q66,'项目月度'!Q75,'项目月度'!Q84,'项目月度'!Q93,'项目月度'!Q102,'项目月度'!Q111,'项目月度'!Q120,'项目月度'!Q129,'项目月度'!Q138,'项目月度'!Q147,'项目月度'!Q156,'项目月度'!Q165,'项目月度'!Q174,'项目月度'!Q183)</x:f>
        <x:v>0</x:v>
      </x:c>
      <x:c r="R20" s="8" t="n">
        <x:f>SUM('项目月度'!R12,'项目月度'!R21,'项目月度'!R30,'项目月度'!R39,'项目月度'!R48,'项目月度'!R57,'项目月度'!R66,'项目月度'!R75,'项目月度'!R84,'项目月度'!R93,'项目月度'!R102,'项目月度'!R111,'项目月度'!R120,'项目月度'!R129,'项目月度'!R138,'项目月度'!R147,'项目月度'!R156,'项目月度'!R165,'项目月度'!R174,'项目月度'!R183)</x:f>
        <x:v>0</x:v>
      </x:c>
      <x:c r="S20" s="8" t="n">
        <x:f>SUM('项目月度'!S12,'项目月度'!S21,'项目月度'!S30,'项目月度'!S39,'项目月度'!S48,'项目月度'!S57,'项目月度'!S66,'项目月度'!S75,'项目月度'!S84,'项目月度'!S93,'项目月度'!S102,'项目月度'!S111,'项目月度'!S120,'项目月度'!S129,'项目月度'!S138,'项目月度'!S147,'项目月度'!S156,'项目月度'!S165,'项目月度'!S174,'项目月度'!S183)</x:f>
        <x:v>0</x:v>
      </x:c>
      <x:c r="T20" s="8" t="n">
        <x:f>SUM('项目月度'!T12,'项目月度'!T21,'项目月度'!T30,'项目月度'!T39,'项目月度'!T48,'项目月度'!T57,'项目月度'!T66,'项目月度'!T75,'项目月度'!T84,'项目月度'!T93,'项目月度'!T102,'项目月度'!T111,'项目月度'!T120,'项目月度'!T129,'项目月度'!T138,'项目月度'!T147,'项目月度'!T156,'项目月度'!T165,'项目月度'!T174,'项目月度'!T183)</x:f>
        <x:v>0</x:v>
      </x:c>
      <x:c r="U20" s="8" t="n">
        <x:f>SUM('项目月度'!U12,'项目月度'!U21,'项目月度'!U30,'项目月度'!U39,'项目月度'!U48,'项目月度'!U57,'项目月度'!U66,'项目月度'!U75,'项目月度'!U84,'项目月度'!U93,'项目月度'!U102,'项目月度'!U111,'项目月度'!U120,'项目月度'!U129,'项目月度'!U138,'项目月度'!U147,'项目月度'!U156,'项目月度'!U165,'项目月度'!U174,'项目月度'!U183)</x:f>
        <x:v>0</x:v>
      </x:c>
      <x:c r="V20" s="8" t="n">
        <x:f>SUM('项目月度'!V12,'项目月度'!V21,'项目月度'!V30,'项目月度'!V39,'项目月度'!V48,'项目月度'!V57,'项目月度'!V66,'项目月度'!V75,'项目月度'!V84,'项目月度'!V93,'项目月度'!V102,'项目月度'!V111,'项目月度'!V120,'项目月度'!V129,'项目月度'!V138,'项目月度'!V147,'项目月度'!V156,'项目月度'!V165,'项目月度'!V174,'项目月度'!V183)</x:f>
        <x:v>0</x:v>
      </x:c>
      <x:c r="W20" s="8" t="n">
        <x:f>SUM('项目月度'!W12,'项目月度'!W21,'项目月度'!W30,'项目月度'!W39,'项目月度'!W48,'项目月度'!W57,'项目月度'!W66,'项目月度'!W75,'项目月度'!W84,'项目月度'!W93,'项目月度'!W102,'项目月度'!W111,'项目月度'!W120,'项目月度'!W129,'项目月度'!W138,'项目月度'!W147,'项目月度'!W156,'项目月度'!W165,'项目月度'!W174,'项目月度'!W183)</x:f>
        <x:v>0</x:v>
      </x:c>
      <x:c r="X20" s="8" t="n">
        <x:f>SUM('项目月度'!X12,'项目月度'!X21,'项目月度'!X30,'项目月度'!X39,'项目月度'!X48,'项目月度'!X57,'项目月度'!X66,'项目月度'!X75,'项目月度'!X84,'项目月度'!X93,'项目月度'!X102,'项目月度'!X111,'项目月度'!X120,'项目月度'!X129,'项目月度'!X138,'项目月度'!X147,'项目月度'!X156,'项目月度'!X165,'项目月度'!X174,'项目月度'!X183)</x:f>
        <x:v>0</x:v>
      </x:c>
      <x:c r="Y20" s="8" t="n">
        <x:f>SUM('项目月度'!Y12,'项目月度'!Y21,'项目月度'!Y30,'项目月度'!Y39,'项目月度'!Y48,'项目月度'!Y57,'项目月度'!Y66,'项目月度'!Y75,'项目月度'!Y84,'项目月度'!Y93,'项目月度'!Y102,'项目月度'!Y111,'项目月度'!Y120,'项目月度'!Y129,'项目月度'!Y138,'项目月度'!Y147,'项目月度'!Y156,'项目月度'!Y165,'项目月度'!Y174,'项目月度'!Y183)</x:f>
        <x:v>0</x:v>
      </x:c>
      <x:c r="Z20" s="8" t="n">
        <x:f>SUM('项目月度'!Z12,'项目月度'!Z21,'项目月度'!Z30,'项目月度'!Z39,'项目月度'!Z48,'项目月度'!Z57,'项目月度'!Z66,'项目月度'!Z75,'项目月度'!Z84,'项目月度'!Z93,'项目月度'!Z102,'项目月度'!Z111,'项目月度'!Z120,'项目月度'!Z129,'项目月度'!Z138,'项目月度'!Z147,'项目月度'!Z156,'项目月度'!Z165,'项目月度'!Z174,'项目月度'!Z183)</x:f>
        <x:v>0</x:v>
      </x:c>
      <x:c r="AA20" s="8" t="n">
        <x:f>SUM('项目月度'!AA12,'项目月度'!AA21,'项目月度'!AA30,'项目月度'!AA39,'项目月度'!AA48,'项目月度'!AA57,'项目月度'!AA66,'项目月度'!AA75,'项目月度'!AA84,'项目月度'!AA93,'项目月度'!AA102,'项目月度'!AA111,'项目月度'!AA120,'项目月度'!AA129,'项目月度'!AA138,'项目月度'!AA147,'项目月度'!AA156,'项目月度'!AA165,'项目月度'!AA174,'项目月度'!AA183)</x:f>
        <x:v>0</x:v>
      </x:c>
      <x:c r="AB20" s="8" t="n">
        <x:f>SUM('项目月度'!AB12,'项目月度'!AB21,'项目月度'!AB30,'项目月度'!AB39,'项目月度'!AB48,'项目月度'!AB57,'项目月度'!AB66,'项目月度'!AB75,'项目月度'!AB84,'项目月度'!AB93,'项目月度'!AB102,'项目月度'!AB111,'项目月度'!AB120,'项目月度'!AB129,'项目月度'!AB138,'项目月度'!AB147,'项目月度'!AB156,'项目月度'!AB165,'项目月度'!AB174,'项目月度'!AB183)</x:f>
        <x:v>0</x:v>
      </x:c>
    </x:row>
    <x:row r="21" ht="23" customHeight="1">
      <x:c r="A21" s="1"/>
      <x:c r="B21" s="1"/>
      <x:c r="C21" s="1" t="str">
        <x:v>所需名义工程FTE</x:v>
      </x:c>
      <x:c r="D21" s="2" t="n">
        <x:f>MAX(E21:P21)</x:f>
        <x:v>36</x:v>
      </x:c>
      <x:c r="E21" s="8" t="n">
        <x:f>E20/'假设'!D42</x:f>
        <x:v>0</x:v>
      </x:c>
      <x:c r="F21" s="8" t="n">
        <x:f>F20/'假设'!D42</x:f>
        <x:v>0</x:v>
      </x:c>
      <x:c r="G21" s="8" t="n">
        <x:f>G20/'假设'!D42</x:f>
        <x:v>2</x:v>
      </x:c>
      <x:c r="H21" s="8" t="n">
        <x:f>H20/'假设'!D42</x:f>
        <x:v>4</x:v>
      </x:c>
      <x:c r="I21" s="8" t="n">
        <x:f>I20/'假设'!D42</x:f>
        <x:v>4</x:v>
      </x:c>
      <x:c r="J21" s="8" t="n">
        <x:f>J20/'假设'!D42</x:f>
        <x:v>18</x:v>
      </x:c>
      <x:c r="K21" s="8" t="n">
        <x:f>K20/'假设'!D42</x:f>
        <x:v>24</x:v>
      </x:c>
      <x:c r="L21" s="8" t="n">
        <x:f>L20/'假设'!D42</x:f>
        <x:v>30</x:v>
      </x:c>
      <x:c r="M21" s="8" t="n">
        <x:f>M20/'假设'!D42</x:f>
        <x:v>36</x:v>
      </x:c>
      <x:c r="N21" s="8" t="n">
        <x:f>N20/'假设'!D42</x:f>
        <x:v>30</x:v>
      </x:c>
      <x:c r="O21" s="8" t="n">
        <x:f>O20/'假设'!D42</x:f>
        <x:v>22</x:v>
      </x:c>
      <x:c r="P21" s="8" t="n">
        <x:f>P20/'假设'!D42</x:f>
        <x:v>14</x:v>
      </x:c>
      <x:c r="Q21" s="8" t="n">
        <x:f>Q20/'假设'!D42</x:f>
        <x:v>0</x:v>
      </x:c>
      <x:c r="R21" s="8" t="n">
        <x:f>R20/'假设'!D42</x:f>
        <x:v>0</x:v>
      </x:c>
      <x:c r="S21" s="8" t="n">
        <x:f>S20/'假设'!D42</x:f>
        <x:v>0</x:v>
      </x:c>
      <x:c r="T21" s="8" t="n">
        <x:f>T20/'假设'!D42</x:f>
        <x:v>0</x:v>
      </x:c>
      <x:c r="U21" s="8" t="n">
        <x:f>U20/'假设'!D42</x:f>
        <x:v>0</x:v>
      </x:c>
      <x:c r="V21" s="8" t="n">
        <x:f>V20/'假设'!D42</x:f>
        <x:v>0</x:v>
      </x:c>
      <x:c r="W21" s="8" t="n">
        <x:f>W20/'假设'!D42</x:f>
        <x:v>0</x:v>
      </x:c>
      <x:c r="X21" s="8" t="n">
        <x:f>X20/'假设'!D42</x:f>
        <x:v>0</x:v>
      </x:c>
      <x:c r="Y21" s="8" t="n">
        <x:f>Y20/'假设'!D42</x:f>
        <x:v>0</x:v>
      </x:c>
      <x:c r="Z21" s="8" t="n">
        <x:f>Z20/'假设'!D42</x:f>
        <x:v>0</x:v>
      </x:c>
      <x:c r="AA21" s="8" t="n">
        <x:f>AA20/'假设'!D42</x:f>
        <x:v>0</x:v>
      </x:c>
      <x:c r="AB21" s="8" t="n">
        <x:f>AB20/'假设'!D42</x:f>
        <x:v>0</x:v>
      </x:c>
    </x:row>
    <x:row r="22" ht="23" customHeight="1">
      <x:c r="A22" s="1"/>
      <x:c r="B22" s="1"/>
      <x:c r="C22" s="1" t="str">
        <x:v>生效ARR</x:v>
      </x:c>
      <x:c r="D22" s="2" t="n">
        <x:f>P22</x:f>
        <x:v>36</x:v>
      </x:c>
      <x:c r="E22" s="8" t="n">
        <x:f>SUM('项目月度'!E13,'项目月度'!E22,'项目月度'!E31,'项目月度'!E40,'项目月度'!E49,'项目月度'!E58,'项目月度'!E67,'项目月度'!E76,'项目月度'!E85,'项目月度'!E94,'项目月度'!E103,'项目月度'!E112,'项目月度'!E121,'项目月度'!E130,'项目月度'!E139,'项目月度'!E148,'项目月度'!E157,'项目月度'!E166,'项目月度'!E175,'项目月度'!E184)</x:f>
        <x:v>0</x:v>
      </x:c>
      <x:c r="F22" s="8" t="n">
        <x:f>SUM('项目月度'!F13,'项目月度'!F22,'项目月度'!F31,'项目月度'!F40,'项目月度'!F49,'项目月度'!F58,'项目月度'!F67,'项目月度'!F76,'项目月度'!F85,'项目月度'!F94,'项目月度'!F103,'项目月度'!F112,'项目月度'!F121,'项目月度'!F130,'项目月度'!F139,'项目月度'!F148,'项目月度'!F157,'项目月度'!F166,'项目月度'!F175,'项目月度'!F184)</x:f>
        <x:v>0</x:v>
      </x:c>
      <x:c r="G22" s="8" t="n">
        <x:f>SUM('项目月度'!G13,'项目月度'!G22,'项目月度'!G31,'项目月度'!G40,'项目月度'!G49,'项目月度'!G58,'项目月度'!G67,'项目月度'!G76,'项目月度'!G85,'项目月度'!G94,'项目月度'!G103,'项目月度'!G112,'项目月度'!G121,'项目月度'!G130,'项目月度'!G139,'项目月度'!G148,'项目月度'!G157,'项目月度'!G166,'项目月度'!G175,'项目月度'!G184)</x:f>
        <x:v>0</x:v>
      </x:c>
      <x:c r="H22" s="8" t="n">
        <x:f>SUM('项目月度'!H13,'项目月度'!H22,'项目月度'!H31,'项目月度'!H40,'项目月度'!H49,'项目月度'!H58,'项目月度'!H67,'项目月度'!H76,'项目月度'!H85,'项目月度'!H94,'项目月度'!H103,'项目月度'!H112,'项目月度'!H121,'项目月度'!H130,'项目月度'!H139,'项目月度'!H148,'项目月度'!H157,'项目月度'!H166,'项目月度'!H175,'项目月度'!H184)</x:f>
        <x:v>0</x:v>
      </x:c>
      <x:c r="I22" s="8" t="n">
        <x:f>SUM('项目月度'!I13,'项目月度'!I22,'项目月度'!I31,'项目月度'!I40,'项目月度'!I49,'项目月度'!I58,'项目月度'!I67,'项目月度'!I76,'项目月度'!I85,'项目月度'!I94,'项目月度'!I103,'项目月度'!I112,'项目月度'!I121,'项目月度'!I130,'项目月度'!I139,'项目月度'!I148,'项目月度'!I157,'项目月度'!I166,'项目月度'!I175,'项目月度'!I184)</x:f>
        <x:v>0</x:v>
      </x:c>
      <x:c r="J22" s="8" t="n">
        <x:f>SUM('项目月度'!J13,'项目月度'!J22,'项目月度'!J31,'项目月度'!J40,'项目月度'!J49,'项目月度'!J58,'项目月度'!J67,'项目月度'!J76,'项目月度'!J85,'项目月度'!J94,'项目月度'!J103,'项目月度'!J112,'项目月度'!J121,'项目月度'!J130,'项目月度'!J139,'项目月度'!J148,'项目月度'!J157,'项目月度'!J166,'项目月度'!J175,'项目月度'!J184)</x:f>
        <x:v>0</x:v>
      </x:c>
      <x:c r="K22" s="8" t="n">
        <x:f>SUM('项目月度'!K13,'项目月度'!K22,'项目月度'!K31,'项目月度'!K40,'项目月度'!K49,'项目月度'!K58,'项目月度'!K67,'项目月度'!K76,'项目月度'!K85,'项目月度'!K94,'项目月度'!K103,'项目月度'!K112,'项目月度'!K121,'项目月度'!K130,'项目月度'!K139,'项目月度'!K148,'项目月度'!K157,'项目月度'!K166,'项目月度'!K175,'项目月度'!K184)</x:f>
        <x:v>0</x:v>
      </x:c>
      <x:c r="L22" s="8" t="n">
        <x:f>SUM('项目月度'!L13,'项目月度'!L22,'项目月度'!L31,'项目月度'!L40,'项目月度'!L49,'项目月度'!L58,'项目月度'!L67,'项目月度'!L76,'项目月度'!L85,'项目月度'!L94,'项目月度'!L103,'项目月度'!L112,'项目月度'!L121,'项目月度'!L130,'项目月度'!L139,'项目月度'!L148,'项目月度'!L157,'项目月度'!L166,'项目月度'!L175,'项目月度'!L184)</x:f>
        <x:v>0</x:v>
      </x:c>
      <x:c r="M22" s="8" t="n">
        <x:f>SUM('项目月度'!M13,'项目月度'!M22,'项目月度'!M31,'项目月度'!M40,'项目月度'!M49,'项目月度'!M58,'项目月度'!M67,'项目月度'!M76,'项目月度'!M85,'项目月度'!M94,'项目月度'!M103,'项目月度'!M112,'项目月度'!M121,'项目月度'!M130,'项目月度'!M139,'项目月度'!M148,'项目月度'!M157,'项目月度'!M166,'项目月度'!M175,'项目月度'!M184)</x:f>
        <x:v>0</x:v>
      </x:c>
      <x:c r="N22" s="8" t="n">
        <x:f>SUM('项目月度'!N13,'项目月度'!N22,'项目月度'!N31,'项目月度'!N40,'项目月度'!N49,'项目月度'!N58,'项目月度'!N67,'项目月度'!N76,'项目月度'!N85,'项目月度'!N94,'项目月度'!N103,'项目月度'!N112,'项目月度'!N121,'项目月度'!N130,'项目月度'!N139,'项目月度'!N148,'项目月度'!N157,'项目月度'!N166,'项目月度'!N175,'项目月度'!N184)</x:f>
        <x:v>12</x:v>
      </x:c>
      <x:c r="O22" s="8" t="n">
        <x:f>SUM('项目月度'!O13,'项目月度'!O22,'项目月度'!O31,'项目月度'!O40,'项目月度'!O49,'项目月度'!O58,'项目月度'!O67,'项目月度'!O76,'项目月度'!O85,'项目月度'!O94,'项目月度'!O103,'项目月度'!O112,'项目月度'!O121,'项目月度'!O130,'项目月度'!O139,'项目月度'!O148,'项目月度'!O157,'项目月度'!O166,'项目月度'!O175,'项目月度'!O184)</x:f>
        <x:v>24</x:v>
      </x:c>
      <x:c r="P22" s="8" t="n">
        <x:f>SUM('项目月度'!P13,'项目月度'!P22,'项目月度'!P31,'项目月度'!P40,'项目月度'!P49,'项目月度'!P58,'项目月度'!P67,'项目月度'!P76,'项目月度'!P85,'项目月度'!P94,'项目月度'!P103,'项目月度'!P112,'项目月度'!P121,'项目月度'!P130,'项目月度'!P139,'项目月度'!P148,'项目月度'!P157,'项目月度'!P166,'项目月度'!P175,'项目月度'!P184)</x:f>
        <x:v>36</x:v>
      </x:c>
      <x:c r="Q22" s="8" t="n">
        <x:f>SUM('项目月度'!Q13,'项目月度'!Q22,'项目月度'!Q31,'项目月度'!Q40,'项目月度'!Q49,'项目月度'!Q58,'项目月度'!Q67,'项目月度'!Q76,'项目月度'!Q85,'项目月度'!Q94,'项目月度'!Q103,'项目月度'!Q112,'项目月度'!Q121,'项目月度'!Q130,'项目月度'!Q139,'项目月度'!Q148,'项目月度'!Q157,'项目月度'!Q166,'项目月度'!Q175,'项目月度'!Q184)</x:f>
        <x:v>72</x:v>
      </x:c>
      <x:c r="R22" s="8" t="n">
        <x:f>SUM('项目月度'!R13,'项目月度'!R22,'项目月度'!R31,'项目月度'!R40,'项目月度'!R49,'项目月度'!R58,'项目月度'!R67,'项目月度'!R76,'项目月度'!R85,'项目月度'!R94,'项目月度'!R103,'项目月度'!R112,'项目月度'!R121,'项目月度'!R130,'项目月度'!R139,'项目月度'!R148,'项目月度'!R157,'项目月度'!R166,'项目月度'!R175,'项目月度'!R184)</x:f>
        <x:v>72</x:v>
      </x:c>
      <x:c r="S22" s="8" t="n">
        <x:f>SUM('项目月度'!S13,'项目月度'!S22,'项目月度'!S31,'项目月度'!S40,'项目月度'!S49,'项目月度'!S58,'项目月度'!S67,'项目月度'!S76,'项目月度'!S85,'项目月度'!S94,'项目月度'!S103,'项目月度'!S112,'项目月度'!S121,'项目月度'!S130,'项目月度'!S139,'项目月度'!S148,'项目月度'!S157,'项目月度'!S166,'项目月度'!S175,'项目月度'!S184)</x:f>
        <x:v>72</x:v>
      </x:c>
      <x:c r="T22" s="8" t="n">
        <x:f>SUM('项目月度'!T13,'项目月度'!T22,'项目月度'!T31,'项目月度'!T40,'项目月度'!T49,'项目月度'!T58,'项目月度'!T67,'项目月度'!T76,'项目月度'!T85,'项目月度'!T94,'项目月度'!T103,'项目月度'!T112,'项目月度'!T121,'项目月度'!T130,'项目月度'!T139,'项目月度'!T148,'项目月度'!T157,'项目月度'!T166,'项目月度'!T175,'项目月度'!T184)</x:f>
        <x:v>72</x:v>
      </x:c>
      <x:c r="U22" s="8" t="n">
        <x:f>SUM('项目月度'!U13,'项目月度'!U22,'项目月度'!U31,'项目月度'!U40,'项目月度'!U49,'项目月度'!U58,'项目月度'!U67,'项目月度'!U76,'项目月度'!U85,'项目月度'!U94,'项目月度'!U103,'项目月度'!U112,'项目月度'!U121,'项目月度'!U130,'项目月度'!U139,'项目月度'!U148,'项目月度'!U157,'项目月度'!U166,'项目月度'!U175,'项目月度'!U184)</x:f>
        <x:v>72</x:v>
      </x:c>
      <x:c r="V22" s="8" t="n">
        <x:f>SUM('项目月度'!V13,'项目月度'!V22,'项目月度'!V31,'项目月度'!V40,'项目月度'!V49,'项目月度'!V58,'项目月度'!V67,'项目月度'!V76,'项目月度'!V85,'项目月度'!V94,'项目月度'!V103,'项目月度'!V112,'项目月度'!V121,'项目月度'!V130,'项目月度'!V139,'项目月度'!V148,'项目月度'!V157,'项目月度'!V166,'项目月度'!V175,'项目月度'!V184)</x:f>
        <x:v>72</x:v>
      </x:c>
      <x:c r="W22" s="8" t="n">
        <x:f>SUM('项目月度'!W13,'项目月度'!W22,'项目月度'!W31,'项目月度'!W40,'项目月度'!W49,'项目月度'!W58,'项目月度'!W67,'项目月度'!W76,'项目月度'!W85,'项目月度'!W94,'项目月度'!W103,'项目月度'!W112,'项目月度'!W121,'项目月度'!W130,'项目月度'!W139,'项目月度'!W148,'项目月度'!W157,'项目月度'!W166,'项目月度'!W175,'项目月度'!W184)</x:f>
        <x:v>72</x:v>
      </x:c>
      <x:c r="X22" s="8" t="n">
        <x:f>SUM('项目月度'!X13,'项目月度'!X22,'项目月度'!X31,'项目月度'!X40,'项目月度'!X49,'项目月度'!X58,'项目月度'!X67,'项目月度'!X76,'项目月度'!X85,'项目月度'!X94,'项目月度'!X103,'项目月度'!X112,'项目月度'!X121,'项目月度'!X130,'项目月度'!X139,'项目月度'!X148,'项目月度'!X157,'项目月度'!X166,'项目月度'!X175,'项目月度'!X184)</x:f>
        <x:v>72</x:v>
      </x:c>
      <x:c r="Y22" s="8" t="n">
        <x:f>SUM('项目月度'!Y13,'项目月度'!Y22,'项目月度'!Y31,'项目月度'!Y40,'项目月度'!Y49,'项目月度'!Y58,'项目月度'!Y67,'项目月度'!Y76,'项目月度'!Y85,'项目月度'!Y94,'项目月度'!Y103,'项目月度'!Y112,'项目月度'!Y121,'项目月度'!Y130,'项目月度'!Y139,'项目月度'!Y148,'项目月度'!Y157,'项目月度'!Y166,'项目月度'!Y175,'项目月度'!Y184)</x:f>
        <x:v>72</x:v>
      </x:c>
      <x:c r="Z22" s="8" t="n">
        <x:f>SUM('项目月度'!Z13,'项目月度'!Z22,'项目月度'!Z31,'项目月度'!Z40,'项目月度'!Z49,'项目月度'!Z58,'项目月度'!Z67,'项目月度'!Z76,'项目月度'!Z85,'项目月度'!Z94,'项目月度'!Z103,'项目月度'!Z112,'项目月度'!Z121,'项目月度'!Z130,'项目月度'!Z139,'项目月度'!Z148,'项目月度'!Z157,'项目月度'!Z166,'项目月度'!Z175,'项目月度'!Z184)</x:f>
        <x:v>60</x:v>
      </x:c>
      <x:c r="AA22" s="8" t="n">
        <x:f>SUM('项目月度'!AA13,'项目月度'!AA22,'项目月度'!AA31,'项目月度'!AA40,'项目月度'!AA49,'项目月度'!AA58,'项目月度'!AA67,'项目月度'!AA76,'项目月度'!AA85,'项目月度'!AA94,'项目月度'!AA103,'项目月度'!AA112,'项目月度'!AA121,'项目月度'!AA130,'项目月度'!AA139,'项目月度'!AA148,'项目月度'!AA157,'项目月度'!AA166,'项目月度'!AA175,'项目月度'!AA184)</x:f>
        <x:v>48</x:v>
      </x:c>
      <x:c r="AB22" s="8" t="n">
        <x:f>SUM('项目月度'!AB13,'项目月度'!AB22,'项目月度'!AB31,'项目月度'!AB40,'项目月度'!AB49,'项目月度'!AB58,'项目月度'!AB67,'项目月度'!AB76,'项目月度'!AB85,'项目月度'!AB94,'项目月度'!AB103,'项目月度'!AB112,'项目月度'!AB121,'项目月度'!AB130,'项目月度'!AB139,'项目月度'!AB148,'项目月度'!AB157,'项目月度'!AB166,'项目月度'!AB175,'项目月度'!AB184)</x:f>
        <x:v>36</x:v>
      </x:c>
    </x:row>
    <x:row r="23" ht="23" customHeight="1">
      <x:c r="A23" s="1"/>
      <x:c r="B23" s="1"/>
      <x:c r="C23" s="1" t="str">
        <x:v>期末应收账款</x:v>
      </x:c>
      <x:c r="D23" s="2" t="n">
        <x:f>P23</x:f>
        <x:v>64.5</x:v>
      </x:c>
      <x:c r="E23" s="2" t="n">
        <x:f>SUM($E8:E8)-SUM($E9:E9)</x:f>
        <x:v>0</x:v>
      </x:c>
      <x:c r="F23" s="2" t="n">
        <x:f>SUM($E8:F8)-SUM($E9:F9)</x:f>
        <x:v>0</x:v>
      </x:c>
      <x:c r="G23" s="2" t="n">
        <x:f>SUM($E8:G8)-SUM($E9:G9)</x:f>
        <x:v>2.4</x:v>
      </x:c>
      <x:c r="H23" s="2" t="n">
        <x:f>SUM($E8:H8)-SUM($E9:H9)</x:f>
        <x:v>8</x:v>
      </x:c>
      <x:c r="I23" s="2" t="n">
        <x:f>SUM($E8:I8)-SUM($E9:I9)</x:f>
        <x:v>7.999999999999998</x:v>
      </x:c>
      <x:c r="J23" s="2" t="n">
        <x:f>SUM($E8:J8)-SUM($E9:J9)</x:f>
        <x:v>60.50000000000001</x:v>
      </x:c>
      <x:c r="K23" s="2" t="n">
        <x:f>SUM($E8:K8)-SUM($E9:K9)</x:f>
        <x:v>24.5</x:v>
      </x:c>
      <x:c r="L23" s="2" t="n">
        <x:f>SUM($E8:L8)-SUM($E9:L9)</x:f>
        <x:v>46.5</x:v>
      </x:c>
      <x:c r="M23" s="2" t="n">
        <x:f>SUM($E8:M8)-SUM($E9:M9)</x:f>
        <x:v>110.99999999999997</x:v>
      </x:c>
      <x:c r="N23" s="2" t="n">
        <x:f>SUM($E8:N8)-SUM($E9:N9)</x:f>
        <x:v>58.5</x:v>
      </x:c>
      <x:c r="O23" s="2" t="n">
        <x:f>SUM($E8:O8)-SUM($E9:O9)</x:f>
        <x:v>56.10000000000002</x:v>
      </x:c>
      <x:c r="P23" s="2" t="n">
        <x:f>SUM($E8:P8)-SUM($E9:P9)</x:f>
        <x:v>64.5</x:v>
      </x:c>
      <x:c r="Q23" s="2" t="n">
        <x:f>SUM($E8:Q8)-SUM($E9:Q9)</x:f>
        <x:v>36</x:v>
      </x:c>
      <x:c r="R23" s="2" t="n">
        <x:f>SUM($E8:R8)-SUM($E9:R9)</x:f>
        <x:v>0</x:v>
      </x:c>
      <x:c r="S23" s="2" t="n">
        <x:f>SUM($E8:S8)-SUM($E9:S9)</x:f>
        <x:v>0</x:v>
      </x:c>
      <x:c r="T23" s="2" t="n">
        <x:f>SUM($E8:T8)-SUM($E9:T9)</x:f>
        <x:v>0</x:v>
      </x:c>
      <x:c r="U23" s="2" t="n">
        <x:f>SUM($E8:U8)-SUM($E9:U9)</x:f>
        <x:v>0</x:v>
      </x:c>
      <x:c r="V23" s="2" t="n">
        <x:f>SUM($E8:V8)-SUM($E9:V9)</x:f>
        <x:v>0</x:v>
      </x:c>
      <x:c r="W23" s="2" t="n">
        <x:f>SUM($E8:W8)-SUM($E9:W9)</x:f>
        <x:v>0</x:v>
      </x:c>
      <x:c r="X23" s="2" t="n">
        <x:f>SUM($E8:X8)-SUM($E9:X9)</x:f>
        <x:v>0</x:v>
      </x:c>
      <x:c r="Y23" s="2" t="n">
        <x:f>SUM($E8:Y8)-SUM($E9:Y9)</x:f>
        <x:v>0</x:v>
      </x:c>
      <x:c r="Z23" s="2" t="n">
        <x:f>SUM($E8:Z8)-SUM($E9:Z9)</x:f>
        <x:v>0</x:v>
      </x:c>
      <x:c r="AA23" s="2" t="n">
        <x:f>SUM($E8:AA8)-SUM($E9:AA9)</x:f>
        <x:v>0</x:v>
      </x:c>
      <x:c r="AB23" s="2" t="n">
        <x:f>SUM($E8:AB8)-SUM($E9:AB9)</x:f>
        <x:v>0</x:v>
      </x:c>
    </x:row>
    <x:row r="24" ht="23" customHeight="1">
      <x:c r="A24" s="1"/>
      <x:c r="B24" s="1"/>
      <x:c r="C24" s="1" t="str">
        <x:v>净合同负债（负值为资产）</x:v>
      </x:c>
      <x:c r="D24" s="2" t="n">
        <x:f>P24</x:f>
        <x:v>30</x:v>
      </x:c>
      <x:c r="E24" s="2" t="n">
        <x:f>SUM($E8:E8)-SUM($E7:E7)</x:f>
        <x:v>0</x:v>
      </x:c>
      <x:c r="F24" s="2" t="n">
        <x:f>SUM($E8:F8)-SUM($E7:F7)</x:f>
        <x:v>0</x:v>
      </x:c>
      <x:c r="G24" s="2" t="n">
        <x:f>SUM($E8:G8)-SUM($E7:G7)</x:f>
        <x:v>2.4</x:v>
      </x:c>
      <x:c r="H24" s="2" t="n">
        <x:f>SUM($E8:H8)-SUM($E7:H7)</x:f>
        <x:v>2.4000000000000004</x:v>
      </x:c>
      <x:c r="I24" s="2" t="n">
        <x:f>SUM($E8:I8)-SUM($E7:I7)</x:f>
        <x:v>2.3999999999999986</x:v>
      </x:c>
      <x:c r="J24" s="2" t="n">
        <x:f>SUM($E8:J8)-SUM($E7:J7)</x:f>
        <x:v>54.900000000000006</x:v>
      </x:c>
      <x:c r="K24" s="2" t="n">
        <x:f>SUM($E8:K8)-SUM($E7:K7)</x:f>
        <x:v>71.4</x:v>
      </x:c>
      <x:c r="L24" s="2" t="n">
        <x:f>SUM($E8:L8)-SUM($E7:L7)</x:f>
        <x:v>109.9</x:v>
      </x:c>
      <x:c r="M24" s="2" t="n">
        <x:f>SUM($E8:M8)-SUM($E7:M7)</x:f>
        <x:v>157.89999999999998</x:v>
      </x:c>
      <x:c r="N24" s="2" t="n">
        <x:f>SUM($E8:N8)-SUM($E7:N7)</x:f>
        <x:v>152.39999999999998</x:v>
      </x:c>
      <x:c r="O24" s="2" t="n">
        <x:f>SUM($E8:O8)-SUM($E7:O7)</x:f>
        <x:v>143.5</x:v>
      </x:c>
      <x:c r="P24" s="2" t="n">
        <x:f>SUM($E8:P8)-SUM($E7:P7)</x:f>
        <x:v>30</x:v>
      </x:c>
      <x:c r="Q24" s="2" t="n">
        <x:f>SUM($E8:Q8)-SUM($E7:Q7)</x:f>
        <x:v>60</x:v>
      </x:c>
      <x:c r="R24" s="2" t="n">
        <x:f>SUM($E8:R8)-SUM($E7:R7)</x:f>
        <x:v>54</x:v>
      </x:c>
      <x:c r="S24" s="2" t="n">
        <x:f>SUM($E8:S8)-SUM($E7:S7)</x:f>
        <x:v>48</x:v>
      </x:c>
      <x:c r="T24" s="2" t="n">
        <x:f>SUM($E8:T8)-SUM($E7:T7)</x:f>
        <x:v>42</x:v>
      </x:c>
      <x:c r="U24" s="2" t="n">
        <x:f>SUM($E8:U8)-SUM($E7:U7)</x:f>
        <x:v>36</x:v>
      </x:c>
      <x:c r="V24" s="2" t="n">
        <x:f>SUM($E8:V8)-SUM($E7:V7)</x:f>
        <x:v>30</x:v>
      </x:c>
      <x:c r="W24" s="2" t="n">
        <x:f>SUM($E8:W8)-SUM($E7:W7)</x:f>
        <x:v>24</x:v>
      </x:c>
      <x:c r="X24" s="2" t="n">
        <x:f>SUM($E8:X8)-SUM($E7:X7)</x:f>
        <x:v>18</x:v>
      </x:c>
      <x:c r="Y24" s="2" t="n">
        <x:f>SUM($E8:Y8)-SUM($E7:Y7)</x:f>
        <x:v>12</x:v>
      </x:c>
      <x:c r="Z24" s="2" t="n">
        <x:f>SUM($E8:Z8)-SUM($E7:Z7)</x:f>
        <x:v>7</x:v>
      </x:c>
      <x:c r="AA24" s="2" t="n">
        <x:f>SUM($E8:AA8)-SUM($E7:AA7)</x:f>
        <x:v>3</x:v>
      </x:c>
      <x:c r="AB24" s="2" t="n">
        <x:f>SUM($E8:AB8)-SUM($E7:AB7)</x:f>
        <x:v>0</x:v>
      </x:c>
    </x:row>
    <x:row r="25" ht="23" customHeight="1">
      <x:c r="A25" s="1"/>
      <x:c r="B25" s="1"/>
      <x:c r="C25" s="1" t="str">
        <x:v>佣金应付</x:v>
      </x:c>
      <x:c r="D25" s="2" t="n">
        <x:f>P25</x:f>
        <x:v>5.025</x:v>
      </x:c>
      <x:c r="E25" s="8" t="n">
        <x:f>(SUM($E6:E6)-SUM($E9:E9))*'假设'!D47</x:f>
        <x:v>0</x:v>
      </x:c>
      <x:c r="F25" s="8" t="n">
        <x:f>(SUM($E6:F6)-SUM($E9:F9))*'假设'!D47</x:f>
        <x:v>0</x:v>
      </x:c>
      <x:c r="G25" s="8" t="n">
        <x:f>(SUM($E6:G6)-SUM($E9:G9))*'假设'!D47</x:f>
        <x:v>0.4</x:v>
      </x:c>
      <x:c r="H25" s="8" t="n">
        <x:f>(SUM($E6:H6)-SUM($E9:H9))*'假设'!D47</x:f>
        <x:v>0.68</x:v>
      </x:c>
      <x:c r="I25" s="8" t="n">
        <x:f>(SUM($E6:I6)-SUM($E9:I9))*'假设'!D47</x:f>
        <x:v>0.68</x:v>
      </x:c>
      <x:c r="J25" s="8" t="n">
        <x:f>(SUM($E6:J6)-SUM($E9:J9))*'假设'!D47</x:f>
        <x:v>11.23</x:v>
      </x:c>
      <x:c r="K25" s="8" t="n">
        <x:f>(SUM($E6:K6)-SUM($E9:K9))*'假设'!D47</x:f>
        <x:v>11.955</x:v>
      </x:c>
      <x:c r="L25" s="8" t="n">
        <x:f>(SUM($E6:L6)-SUM($E9:L9))*'假设'!D47</x:f>
        <x:v>14.480000000000002</x:v>
      </x:c>
      <x:c r="M25" s="8" t="n">
        <x:f>(SUM($E6:M6)-SUM($E9:M9))*'假设'!D47</x:f>
        <x:v>15.905000000000001</x:v>
      </x:c>
      <x:c r="N25" s="8" t="n">
        <x:f>(SUM($E6:N6)-SUM($E9:N9))*'假设'!D47</x:f>
        <x:v>10.755000000000003</x:v>
      </x:c>
      <x:c r="O25" s="8" t="n">
        <x:f>(SUM($E6:O6)-SUM($E9:O9))*'假设'!D47</x:f>
        <x:v>7.830000000000002</x:v>
      </x:c>
      <x:c r="P25" s="8" t="n">
        <x:f>(SUM($E6:P6)-SUM($E9:P9))*'假设'!D47</x:f>
        <x:v>5.025</x:v>
      </x:c>
      <x:c r="Q25" s="8" t="n">
        <x:f>(SUM($E6:Q6)-SUM($E9:Q9))*'假设'!D47</x:f>
        <x:v>1.8</x:v>
      </x:c>
      <x:c r="R25" s="8" t="n">
        <x:f>(SUM($E6:R6)-SUM($E9:R9))*'假设'!D47</x:f>
        <x:v>0</x:v>
      </x:c>
      <x:c r="S25" s="8" t="n">
        <x:f>(SUM($E6:S6)-SUM($E9:S9))*'假设'!D47</x:f>
        <x:v>0</x:v>
      </x:c>
      <x:c r="T25" s="8" t="n">
        <x:f>(SUM($E6:T6)-SUM($E9:T9))*'假设'!D47</x:f>
        <x:v>0</x:v>
      </x:c>
      <x:c r="U25" s="8" t="n">
        <x:f>(SUM($E6:U6)-SUM($E9:U9))*'假设'!D47</x:f>
        <x:v>0</x:v>
      </x:c>
      <x:c r="V25" s="8" t="n">
        <x:f>(SUM($E6:V6)-SUM($E9:V9))*'假设'!D47</x:f>
        <x:v>0</x:v>
      </x:c>
      <x:c r="W25" s="8" t="n">
        <x:f>(SUM($E6:W6)-SUM($E9:W9))*'假设'!D47</x:f>
        <x:v>0</x:v>
      </x:c>
      <x:c r="X25" s="8" t="n">
        <x:f>(SUM($E6:X6)-SUM($E9:X9))*'假设'!D47</x:f>
        <x:v>0</x:v>
      </x:c>
      <x:c r="Y25" s="8" t="n">
        <x:f>(SUM($E6:Y6)-SUM($E9:Y9))*'假设'!D47</x:f>
        <x:v>0</x:v>
      </x:c>
      <x:c r="Z25" s="8" t="n">
        <x:f>(SUM($E6:Z6)-SUM($E9:Z9))*'假设'!D47</x:f>
        <x:v>0</x:v>
      </x:c>
      <x:c r="AA25" s="8" t="n">
        <x:f>(SUM($E6:AA6)-SUM($E9:AA9))*'假设'!D47</x:f>
        <x:v>0</x:v>
      </x:c>
      <x:c r="AB25" s="8" t="n">
        <x:f>(SUM($E6:AB6)-SUM($E9:AB9))*'假设'!D47</x:f>
        <x:v>0</x:v>
      </x:c>
    </x:row>
    <x:row r="26" ht="23" customHeight="1">
      <x:c r="A26" s="1"/>
      <x:c r="B26" s="1"/>
      <x:c r="C26" s="1" t="str">
        <x:v>履约成本余额</x:v>
      </x:c>
      <x:c r="D26" s="2" t="n">
        <x:f>P26</x:f>
        <x:v>2.3092638912203256e-14</x:v>
      </x:c>
      <x:c r="E26" s="2" t="n">
        <x:f>SUM($E16:E16)-SUM($E10:E10)+E25</x:f>
        <x:v>0</x:v>
      </x:c>
      <x:c r="F26" s="2" t="n">
        <x:f>SUM($E16:F16)-SUM($E10:F10)+F25</x:f>
        <x:v>0</x:v>
      </x:c>
      <x:c r="G26" s="2" t="n">
        <x:f>SUM($E16:G16)-SUM($E10:G10)+G25</x:f>
        <x:v>1.85</x:v>
      </x:c>
      <x:c r="H26" s="2" t="n">
        <x:f>SUM($E16:H16)-SUM($E10:H10)+H25</x:f>
        <x:v>1.8499999999999992</x:v>
      </x:c>
      <x:c r="I26" s="2" t="n">
        <x:f>SUM($E16:I16)-SUM($E10:I10)+I25</x:f>
        <x:v>1.8499999999999983</x:v>
      </x:c>
      <x:c r="J26" s="2" t="n">
        <x:f>SUM($E16:J16)-SUM($E10:J10)+J25</x:f>
        <x:v>16.71428571428571</x:v>
      </x:c>
      <x:c r="K26" s="2" t="n">
        <x:f>SUM($E16:K16)-SUM($E10:K10)+K25</x:f>
        <x:v>37.92857142857143</x:v>
      </x:c>
      <x:c r="L26" s="2" t="n">
        <x:f>SUM($E16:L16)-SUM($E10:L10)+L25</x:f>
        <x:v>65.49285714285715</x:v>
      </x:c>
      <x:c r="M26" s="2" t="n">
        <x:f>SUM($E16:M16)-SUM($E10:M10)+M25</x:f>
        <x:v>74.00714285714287</x:v>
      </x:c>
      <x:c r="N26" s="2" t="n">
        <x:f>SUM($E16:N16)-SUM($E10:N10)+N25</x:f>
        <x:v>76.1714285714286</x:v>
      </x:c>
      <x:c r="O26" s="2" t="n">
        <x:f>SUM($E16:O16)-SUM($E10:O10)+O25</x:f>
        <x:v>70.13571428571431</x:v>
      </x:c>
      <x:c r="P26" s="2" t="n">
        <x:f>SUM($E16:P16)-SUM($E10:P10)+P25</x:f>
        <x:v>2.3092638912203256e-14</x:v>
      </x:c>
      <x:c r="Q26" s="2" t="n">
        <x:f>SUM($E16:Q16)-SUM($E10:Q10)+Q25</x:f>
        <x:v>1.709743457922741e-14</x:v>
      </x:c>
      <x:c r="R26" s="2" t="n">
        <x:f>SUM($E16:R16)-SUM($E10:R10)+R25</x:f>
        <x:v>0</x:v>
      </x:c>
      <x:c r="S26" s="2" t="n">
        <x:f>SUM($E16:S16)-SUM($E10:S10)+S25</x:f>
        <x:v>0</x:v>
      </x:c>
      <x:c r="T26" s="2" t="n">
        <x:f>SUM($E16:T16)-SUM($E10:T10)+T25</x:f>
        <x:v>0</x:v>
      </x:c>
      <x:c r="U26" s="2" t="n">
        <x:f>SUM($E16:U16)-SUM($E10:U10)+U25</x:f>
        <x:v>0</x:v>
      </x:c>
      <x:c r="V26" s="2" t="n">
        <x:f>SUM($E16:V16)-SUM($E10:V10)+V25</x:f>
        <x:v>0</x:v>
      </x:c>
      <x:c r="W26" s="2" t="n">
        <x:f>SUM($E16:W16)-SUM($E10:W10)+W25</x:f>
        <x:v>0</x:v>
      </x:c>
      <x:c r="X26" s="2" t="n">
        <x:f>SUM($E16:X16)-SUM($E10:X10)+X25</x:f>
        <x:v>0</x:v>
      </x:c>
      <x:c r="Y26" s="2" t="n">
        <x:f>SUM($E16:Y16)-SUM($E10:Y10)+Y25</x:f>
        <x:v>0</x:v>
      </x:c>
      <x:c r="Z26" s="2" t="n">
        <x:f>SUM($E16:Z16)-SUM($E10:Z10)+Z25</x:f>
        <x:v>0</x:v>
      </x:c>
      <x:c r="AA26" s="2" t="n">
        <x:f>SUM($E16:AA16)-SUM($E10:AA10)+AA25</x:f>
        <x:v>0</x:v>
      </x:c>
      <x:c r="AB26" s="2" t="n">
        <x:f>SUM($E16:AB16)-SUM($E10:AB10)+AB25</x:f>
        <x:v>0</x:v>
      </x:c>
    </x:row>
    <x:row r="27" ht="23" customHeight="1">
      <x:c r="A27" s="1"/>
      <x:c r="B27" s="1"/>
      <x:c r="C27" s="1" t="str">
        <x:v>利润现金桥差额</x:v>
      </x:c>
      <x:c r="D27" s="2" t="n">
        <x:f>P27</x:f>
        <x:v>-4.263256414560601e-14</x:v>
      </x:c>
      <x:c r="E27" s="2" t="n">
        <x:f>SUM($E15:E15)-E23+E24+E25-E26-E19</x:f>
        <x:v>0</x:v>
      </x:c>
      <x:c r="F27" s="2" t="n">
        <x:f>SUM($E15:F15)-F23+F24+F25-F26-F19</x:f>
        <x:v>0</x:v>
      </x:c>
      <x:c r="G27" s="2" t="n">
        <x:f>SUM($E15:G15)-G23+G24+G25-G26-G19</x:f>
        <x:v>0</x:v>
      </x:c>
      <x:c r="H27" s="2" t="n">
        <x:f>SUM($E15:H15)-H23+H24+H25-H26-H19</x:f>
        <x:v>0</x:v>
      </x:c>
      <x:c r="I27" s="2" t="n">
        <x:f>SUM($E15:I15)-I23+I24+I25-I26-I19</x:f>
        <x:v>0</x:v>
      </x:c>
      <x:c r="J27" s="2" t="n">
        <x:f>SUM($E15:J15)-J23+J24+J25-J26-J19</x:f>
        <x:v>2.842170943040401e-14</x:v>
      </x:c>
      <x:c r="K27" s="2" t="n">
        <x:f>SUM($E15:K15)-K23+K24+K25-K26-K19</x:f>
        <x:v>1.4210854715202004e-14</x:v>
      </x:c>
      <x:c r="L27" s="2" t="n">
        <x:f>SUM($E15:L15)-L23+L24+L25-L26-L19</x:f>
        <x:v>1.4210854715202004e-14</x:v>
      </x:c>
      <x:c r="M27" s="2" t="n">
        <x:f>SUM($E15:M15)-M23+M24+M25-M26-M19</x:f>
        <x:v>1.4210854715202004e-14</x:v>
      </x:c>
      <x:c r="N27" s="2" t="n">
        <x:f>SUM($E15:N15)-N23+N24+N25-N26-N19</x:f>
        <x:v>-4.263256414560601e-14</x:v>
      </x:c>
      <x:c r="O27" s="2" t="n">
        <x:f>SUM($E15:O15)-O23+O24+O25-O26-O19</x:f>
        <x:v>-5.684341886080802e-14</x:v>
      </x:c>
      <x:c r="P27" s="2" t="n">
        <x:f>SUM($E15:P15)-P23+P24+P25-P26-P19</x:f>
        <x:v>-4.263256414560601e-14</x:v>
      </x:c>
      <x:c r="Q27" s="2" t="n">
        <x:f>SUM($E15:Q15)-Q23+Q24+Q25-Q26-Q19</x:f>
        <x:v>-4.263256414560601e-14</x:v>
      </x:c>
      <x:c r="R27" s="2" t="n">
        <x:f>SUM($E15:R15)-R23+R24+R25-R26-R19</x:f>
        <x:v>-2.842170943040401e-14</x:v>
      </x:c>
      <x:c r="S27" s="2" t="n">
        <x:f>SUM($E15:S15)-S23+S24+S25-S26-S19</x:f>
        <x:v>0</x:v>
      </x:c>
      <x:c r="T27" s="2" t="n">
        <x:f>SUM($E15:T15)-T23+T24+T25-T26-T19</x:f>
        <x:v>-1.4210854715202004e-14</x:v>
      </x:c>
      <x:c r="U27" s="2" t="n">
        <x:f>SUM($E15:U15)-U23+U24+U25-U26-U19</x:f>
        <x:v>-1.4210854715202004e-14</x:v>
      </x:c>
      <x:c r="V27" s="2" t="n">
        <x:f>SUM($E15:V15)-V23+V24+V25-V26-V19</x:f>
        <x:v>-1.4210854715202004e-14</x:v>
      </x:c>
      <x:c r="W27" s="2" t="n">
        <x:f>SUM($E15:W15)-W23+W24+W25-W26-W19</x:f>
        <x:v>-1.4210854715202004e-14</x:v>
      </x:c>
      <x:c r="X27" s="2" t="n">
        <x:f>SUM($E15:X15)-X23+X24+X25-X26-X19</x:f>
        <x:v>-1.4210854715202004e-14</x:v>
      </x:c>
      <x:c r="Y27" s="2" t="n">
        <x:f>SUM($E15:Y15)-Y23+Y24+Y25-Y26-Y19</x:f>
        <x:v>-1.4210854715202004e-14</x:v>
      </x:c>
      <x:c r="Z27" s="2" t="n">
        <x:f>SUM($E15:Z15)-Z23+Z24+Z25-Z26-Z19</x:f>
        <x:v>-1.4210854715202004e-14</x:v>
      </x:c>
      <x:c r="AA27" s="2" t="n">
        <x:f>SUM($E15:AA15)-AA23+AA24+AA25-AA26-AA19</x:f>
        <x:v>-1.4210854715202004e-14</x:v>
      </x:c>
      <x:c r="AB27" s="2" t="n">
        <x:f>SUM($E15:AB15)-AB23+AB24+AB25-AB26-AB19</x:f>
        <x:v>-1.4210854715202004e-14</x:v>
      </x:c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  <x:c r="AA28" s="1"/>
      <x:c r="AB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  <x:c r="AA29" s="1"/>
      <x:c r="AB29" s="1"/>
    </x:row>
    <x:row r="30" ht="23" customHeight="1">
      <x:c r="A30" s="1"/>
      <x:c r="B30" s="1"/>
      <x:c r="C30" s="1" t="str">
        <x:v>M13–24说明</x:v>
      </x:c>
      <x:c r="D30" s="1" t="str">
        <x:v>仅展示Y1签约合同尾款、支持及交付尾项；非第二年完整经营预算。</x:v>
      </x:c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  <x:c r="AA30" s="1"/>
      <x:c r="AB30" s="1"/>
    </x:row>
    <x:row r="33">
      <x:c r="C33" t="str">
        <x:v>月份</x:v>
      </x:c>
      <x:c r="D33" t="str">
        <x:v>累计现金流</x:v>
      </x:c>
    </x:row>
    <x:row r="34">
      <x:c r="C34" t="str">
        <x:f>E5</x:f>
        <x:v>M1</x:v>
      </x:c>
      <x:c r="D34" t="n">
        <x:f>E19</x:f>
        <x:v>-11.31969593828001</x:v>
      </x:c>
    </x:row>
    <x:row r="35">
      <x:c r="C35" t="str">
        <x:f>F5</x:f>
        <x:v>M2</x:v>
      </x:c>
      <x:c r="D35" t="n">
        <x:f>F19</x:f>
        <x:v>-26.334331744951214</x:v>
      </x:c>
    </x:row>
    <x:row r="36">
      <x:c r="C36" t="str">
        <x:f>G5</x:f>
        <x:v>M3</x:v>
      </x:c>
      <x:c r="D36" t="n">
        <x:f>G19</x:f>
        <x:v>-39.20696755162242</x:v>
      </x:c>
    </x:row>
    <x:row r="37">
      <x:c r="C37" t="str">
        <x:f>H5</x:f>
        <x:v>M4</x:v>
      </x:c>
      <x:c r="D37" t="n">
        <x:f>H19</x:f>
        <x:v>-52.830406625822555</x:v>
      </x:c>
    </x:row>
    <x:row r="38">
      <x:c r="C38" t="str">
        <x:f>I5</x:f>
        <x:v>M5</x:v>
      </x:c>
      <x:c r="D38" t="n">
        <x:f>I19</x:f>
        <x:v>-59.800512366689354</x:v>
      </x:c>
    </x:row>
    <x:row r="39">
      <x:c r="C39" t="str">
        <x:f>J5</x:f>
        <x:v>M6</x:v>
      </x:c>
      <x:c r="D39" t="n">
        <x:f>J19</x:f>
        <x:v>-81.63490382184187</x:v>
      </x:c>
    </x:row>
    <x:row r="40">
      <x:c r="C40" t="str">
        <x:f>K5</x:f>
        <x:v>M7</x:v>
      </x:c>
      <x:c r="D40" t="n">
        <x:f>K19</x:f>
        <x:v>-57.944295276994396</x:v>
      </x:c>
    </x:row>
    <x:row r="41">
      <x:c r="C41" t="str">
        <x:f>L5</x:f>
        <x:v>M8</x:v>
      </x:c>
      <x:c r="D41" t="n">
        <x:f>L19</x:f>
        <x:v>-74.80368673214691</x:v>
      </x:c>
    </x:row>
    <x:row r="42">
      <x:c r="C42" t="str">
        <x:f>M5</x:f>
        <x:v>M9</x:v>
      </x:c>
      <x:c r="D42" t="n">
        <x:f>M19</x:f>
        <x:v>-77.11307818729942</x:v>
      </x:c>
    </x:row>
    <x:row r="43">
      <x:c r="C43" t="str">
        <x:f>N5</x:f>
        <x:v>M10</x:v>
      </x:c>
      <x:c r="D43" t="n">
        <x:f>N19</x:f>
        <x:v>-12.09746964245194</x:v>
      </x:c>
    </x:row>
    <x:row r="44">
      <x:c r="C44" t="str">
        <x:f>O5</x:f>
        <x:v>M11</x:v>
      </x:c>
      <x:c r="D44" t="n">
        <x:f>O19</x:f>
        <x:v>10.943138902395546</x:v>
      </x:c>
    </x:row>
    <x:row r="45">
      <x:c r="C45" t="str">
        <x:f>P5</x:f>
        <x:v>M12</x:v>
      </x:c>
      <x:c r="D45" t="n">
        <x:f>P19</x:f>
        <x:v>39.60374744724304</x:v>
      </x:c>
    </x:row>
  </x:sheetData>
  <x:pageMargins left="0.7" right="0.7" top="0.75" bottom="0.75" header="0.3" footer="0.3"/>
  <x:drawing xmlns:r="http://schemas.openxmlformats.org/officeDocument/2006/relationships" r:id="R4f2b2b4e148047fd"/>
</x:worksheet>
</file>

<file path=xl/worksheets/sheet9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31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</x:row>
    <x:row r="2" ht="23" customHeight="1">
      <x:c r="A2" s="1"/>
      <x:c r="B2" s="1"/>
      <x:c r="C2" s="3" t="str">
        <x:v>布比中东 四年发展（金额：万美元）</x:v>
      </x:c>
      <x:c r="D2" s="3"/>
      <x:c r="E2" s="3"/>
      <x:c r="F2" s="3"/>
      <x:c r="G2" s="3"/>
    </x:row>
    <x:row r="3" ht="23" customHeight="1">
      <x:c r="A3" s="1"/>
      <x:c r="B3" s="1"/>
      <x:c r="C3" s="1" t="str">
        <x:v>情景</x:v>
      </x:c>
      <x:c r="D3" s="8" t="str">
        <x:f>CHOOSE('假设'!D4,"谨慎进入","资源到位目标","突破目标")</x:f>
        <x:v>资源到位目标</x:v>
      </x:c>
      <x:c r="E3" s="1"/>
      <x:c r="F3" s="1"/>
      <x:c r="G3" s="1"/>
    </x:row>
    <x:row r="4" ht="23" customHeight="1">
      <x:c r="A4" s="1"/>
      <x:c r="B4" s="1"/>
      <x:c r="C4" s="1"/>
      <x:c r="D4" s="1"/>
      <x:c r="E4" s="1"/>
      <x:c r="F4" s="1"/>
      <x:c r="G4" s="1"/>
    </x:row>
    <x:row r="5" ht="32" customHeight="1">
      <x:c r="A5" s="1"/>
      <x:c r="B5" s="1"/>
      <x:c r="C5" s="6" t="str">
        <x:v>指标</x:v>
      </x:c>
      <x:c r="D5" s="6" t="str">
        <x:v>Y1</x:v>
      </x:c>
      <x:c r="E5" s="6" t="str">
        <x:v>Y2</x:v>
      </x:c>
      <x:c r="F5" s="6" t="str">
        <x:v>Y3</x:v>
      </x:c>
      <x:c r="G5" s="6" t="str">
        <x:v>Y4</x:v>
      </x:c>
    </x:row>
    <x:row r="6" ht="23" customHeight="1">
      <x:c r="A6" s="1"/>
      <x:c r="B6" s="1"/>
      <x:c r="C6" s="1" t="str">
        <x:v>企业新增完成数</x:v>
      </x:c>
      <x:c r="D6" s="8" t="n">
        <x:f>'假设'!D12</x:f>
        <x:v>4</x:v>
      </x:c>
      <x:c r="E6" s="8" t="n">
        <x:f>'假设'!D92</x:f>
        <x:v>6</x:v>
      </x:c>
      <x:c r="F6" s="8" t="n">
        <x:f>'假设'!D107</x:f>
        <x:v>9</x:v>
      </x:c>
      <x:c r="G6" s="8" t="n">
        <x:f>'假设'!D122</x:f>
        <x:v>12</x:v>
      </x:c>
    </x:row>
    <x:row r="7" ht="23" customHeight="1">
      <x:c r="A7" s="1"/>
      <x:c r="B7" s="1"/>
      <x:c r="C7" s="1" t="str">
        <x:v>产业新增完成数</x:v>
      </x:c>
      <x:c r="D7" s="8" t="n">
        <x:f>'假设'!D17</x:f>
        <x:v>1</x:v>
      </x:c>
      <x:c r="E7" s="8" t="n">
        <x:f>'假设'!D97</x:f>
        <x:v>1</x:v>
      </x:c>
      <x:c r="F7" s="8" t="n">
        <x:f>'假设'!D112</x:f>
        <x:v>2</x:v>
      </x:c>
      <x:c r="G7" s="8" t="n">
        <x:f>'假设'!D127</x:f>
        <x:v>2</x:v>
      </x:c>
    </x:row>
    <x:row r="8" ht="23" customHeight="1">
      <x:c r="A8" s="1"/>
      <x:c r="B8" s="1"/>
      <x:c r="C8" s="1" t="str">
        <x:v>验证项目数</x:v>
      </x:c>
      <x:c r="D8" s="8" t="n">
        <x:f>'假设'!D7</x:f>
        <x:v>8</x:v>
      </x:c>
      <x:c r="E8" s="2" t="n">
        <x:f>E6*2</x:f>
        <x:v>12</x:v>
      </x:c>
      <x:c r="F8" s="2" t="n">
        <x:f>F6*2</x:f>
        <x:v>18</x:v>
      </x:c>
      <x:c r="G8" s="2" t="n">
        <x:f>G6*2</x:f>
        <x:v>24</x:v>
      </x:c>
    </x:row>
    <x:row r="9" ht="23" customHeight="1">
      <x:c r="A9" s="1"/>
      <x:c r="B9" s="1"/>
      <x:c r="C9" s="1" t="str">
        <x:v>期初合同支持ARR</x:v>
      </x:c>
      <x:c r="D9" s="1"/>
      <x:c r="E9" s="2" t="n">
        <x:f>D26</x:f>
        <x:v>72</x:v>
      </x:c>
      <x:c r="F9" s="2" t="n">
        <x:f>E26</x:f>
        <x:v>164.4</x:v>
      </x:c>
      <x:c r="G9" s="2" t="n">
        <x:f>F26</x:f>
        <x:v>303.96000000000004</x:v>
      </x:c>
    </x:row>
    <x:row r="10" ht="23" customHeight="1">
      <x:c r="A10" s="1"/>
      <x:c r="B10" s="1"/>
      <x:c r="C10" s="1" t="str">
        <x:v>保留率</x:v>
      </x:c>
      <x:c r="D10" s="1"/>
      <x:c r="E10" s="18" t="n">
        <x:f>'假设'!D82</x:f>
        <x:v>0.9</x:v>
      </x:c>
      <x:c r="F10" s="18" t="n">
        <x:f>'假设'!D82</x:f>
        <x:v>0.9</x:v>
      </x:c>
      <x:c r="G10" s="18" t="n">
        <x:f>'假设'!D82</x:f>
        <x:v>0.9</x:v>
      </x:c>
    </x:row>
    <x:row r="11" ht="23" customHeight="1">
      <x:c r="A11" s="1"/>
      <x:c r="B11" s="1"/>
      <x:c r="C11" s="1" t="str">
        <x:v>全部支持收入（按到期月）</x:v>
      </x:c>
      <x:c r="D11" s="8" t="n">
        <x:f>SUM('续费队列'!J6:J61)</x:f>
        <x:v>6</x:v>
      </x:c>
      <x:c r="E11" s="8" t="n">
        <x:f>SUM('续费队列'!K6:K61)</x:f>
        <x:v>119.4</x:v>
      </x:c>
      <x:c r="F11" s="8" t="n">
        <x:f>SUM('续费队列'!L6:L61)</x:f>
        <x:v>233.46</x:v>
      </x:c>
      <x:c r="G11" s="8" t="n">
        <x:f>SUM('续费队列'!M6:M61)</x:f>
        <x:v>384.11400000000003</x:v>
      </x:c>
    </x:row>
    <x:row r="12" ht="23" customHeight="1">
      <x:c r="A12" s="1"/>
      <x:c r="B12" s="1"/>
      <x:c r="C12" s="1" t="str">
        <x:v>新增支持ARR</x:v>
      </x:c>
      <x:c r="D12" s="1"/>
      <x:c r="E12" s="8" t="n">
        <x:f>(E6*'项目单价'!E7+E7*'项目单价'!E8)*'假设'!D52</x:f>
        <x:v>96</x:v>
      </x:c>
      <x:c r="F12" s="8" t="n">
        <x:f>(F6*'项目单价'!E7+F7*'项目单价'!E8)*'假设'!D52</x:f>
        <x:v>156</x:v>
      </x:c>
      <x:c r="G12" s="8" t="n">
        <x:f>(G6*'项目单价'!E7+G7*'项目单价'!E8)*'假设'!D52</x:f>
        <x:v>192</x:v>
      </x:c>
    </x:row>
    <x:row r="13" ht="23" customHeight="1">
      <x:c r="A13" s="1"/>
      <x:c r="B13" s="1"/>
      <x:c r="C13" s="1" t="str">
        <x:v>新增支持年内确认比例</x:v>
      </x:c>
      <x:c r="D13" s="1"/>
      <x:c r="E13" s="16" t="n">
        <x:f>0.5</x:f>
        <x:v>0.5</x:v>
      </x:c>
      <x:c r="F13" s="16" t="n">
        <x:f>0.5</x:f>
        <x:v>0.5</x:v>
      </x:c>
      <x:c r="G13" s="16" t="n">
        <x:f>0.5</x:f>
        <x:v>0.5</x:v>
      </x:c>
    </x:row>
    <x:row r="14" ht="23" customHeight="1">
      <x:c r="A14" s="1"/>
      <x:c r="B14" s="1"/>
      <x:c r="C14" s="1" t="str">
        <x:v>其中当年新增支持收入</x:v>
      </x:c>
      <x:c r="D14" s="1"/>
      <x:c r="E14" s="2" t="n">
        <x:f>E12*E13</x:f>
        <x:v>48</x:v>
      </x:c>
      <x:c r="F14" s="2" t="n">
        <x:f>F12*F13</x:f>
        <x:v>78</x:v>
      </x:c>
      <x:c r="G14" s="2" t="n">
        <x:f>G12*G13</x:f>
        <x:v>96</x:v>
      </x:c>
    </x:row>
    <x:row r="15" ht="23" customHeight="1">
      <x:c r="A15" s="1"/>
      <x:c r="B15" s="1"/>
      <x:c r="C15" s="1" t="str">
        <x:v>新增一次性收入</x:v>
      </x:c>
      <x:c r="D15" s="1"/>
      <x:c r="E15" s="8" t="n">
        <x:f>(E6*'项目单价'!D7+E7*'项目单价'!D8+E8*'项目单价'!D6)*'假设'!D52</x:f>
        <x:v>546</x:v>
      </x:c>
      <x:c r="F15" s="8" t="n">
        <x:f>(F6*'项目单价'!D7+F7*'项目单价'!D8+F8*'项目单价'!D6)*'假设'!D52</x:f>
        <x:v>879</x:v>
      </x:c>
      <x:c r="G15" s="8" t="n">
        <x:f>(G6*'项目单价'!D7+G7*'项目单价'!D8+G8*'项目单价'!D6)*'假设'!D52</x:f>
        <x:v>1092</x:v>
      </x:c>
    </x:row>
    <x:row r="16" ht="23" customHeight="1">
      <x:c r="A16" s="1"/>
      <x:c r="B16" s="1"/>
      <x:c r="C16" s="1" t="str">
        <x:v>Y1实施尾项收入</x:v>
      </x:c>
      <x:c r="D16" s="1"/>
      <x:c r="E16" s="8" t="n">
        <x:f>SUM(IF(AND('合同排期'!I6&gt;12,'合同排期'!I6&lt;=24),'合同排期'!K6,0),IF(AND('合同排期'!I7&gt;12,'合同排期'!I7&lt;=24),'合同排期'!K7,0),IF(AND('合同排期'!I8&gt;12,'合同排期'!I8&lt;=24),'合同排期'!K8,0),IF(AND('合同排期'!I9&gt;12,'合同排期'!I9&lt;=24),'合同排期'!K9,0),IF(AND('合同排期'!I10&gt;12,'合同排期'!I10&lt;=24),'合同排期'!K10,0),IF(AND('合同排期'!I11&gt;12,'合同排期'!I11&lt;=24),'合同排期'!K11,0),IF(AND('合同排期'!I12&gt;12,'合同排期'!I12&lt;=24),'合同排期'!K12,0),IF(AND('合同排期'!I13&gt;12,'合同排期'!I13&lt;=24),'合同排期'!K13,0),IF(AND('合同排期'!I14&gt;12,'合同排期'!I14&lt;=24),'合同排期'!K14,0),IF(AND('合同排期'!I15&gt;12,'合同排期'!I15&lt;=24),'合同排期'!K15,0),IF(AND('合同排期'!I16&gt;12,'合同排期'!I16&lt;=24),'合同排期'!K16,0),IF(AND('合同排期'!I17&gt;12,'合同排期'!I17&lt;=24),'合同排期'!K17,0),IF(AND('合同排期'!I18&gt;12,'合同排期'!I18&lt;=24),'合同排期'!K18,0),IF(AND('合同排期'!I19&gt;12,'合同排期'!I19&lt;=24),'合同排期'!K19,0),IF(AND('合同排期'!I20&gt;12,'合同排期'!I20&lt;=24),'合同排期'!K20,0),IF(AND('合同排期'!I21&gt;12,'合同排期'!I21&lt;=24),'合同排期'!K21,0),IF(AND('合同排期'!I22&gt;12,'合同排期'!I22&lt;=24),'合同排期'!K22,0),IF(AND('合同排期'!I23&gt;12,'合同排期'!I23&lt;=24),'合同排期'!K23,0),IF(AND('合同排期'!I24&gt;12,'合同排期'!I24&lt;=24),'合同排期'!K24,0),IF(AND('合同排期'!I25&gt;12,'合同排期'!I25&lt;=24),'合同排期'!K25,0))</x:f>
        <x:v>0</x:v>
      </x:c>
      <x:c r="F16" s="2" t="n">
        <x:f>0</x:f>
        <x:v>0</x:v>
      </x:c>
      <x:c r="G16" s="2" t="n">
        <x:f>0</x:f>
        <x:v>0</x:v>
      </x:c>
    </x:row>
    <x:row r="17" ht="23" customHeight="1">
      <x:c r="A17" s="1"/>
      <x:c r="B17" s="1"/>
      <x:c r="C17" s="1" t="str">
        <x:v>收入合计</x:v>
      </x:c>
      <x:c r="D17" s="8" t="n">
        <x:f>'月度经营'!D7</x:f>
        <x:v>410</x:v>
      </x:c>
      <x:c r="E17" s="2" t="n">
        <x:f>E11+E15+E16</x:f>
        <x:v>665.4</x:v>
      </x:c>
      <x:c r="F17" s="2" t="n">
        <x:f>F11+F15+F16</x:f>
        <x:v>1112.46</x:v>
      </x:c>
      <x:c r="G17" s="2" t="n">
        <x:f>G11+G15+G16</x:f>
        <x:v>1476.114</x:v>
      </x:c>
    </x:row>
    <x:row r="18" ht="23" customHeight="1">
      <x:c r="A18" s="1"/>
      <x:c r="B18" s="1"/>
      <x:c r="C18" s="1" t="str">
        <x:v>单位效率系数</x:v>
      </x:c>
      <x:c r="D18" s="1"/>
      <x:c r="E18" s="18" t="n">
        <x:f>(1-'假设'!D87)^1</x:f>
        <x:v>0.95</x:v>
      </x:c>
      <x:c r="F18" s="18" t="n">
        <x:f>(1-'假设'!D87)^2</x:f>
        <x:v>0.9025</x:v>
      </x:c>
      <x:c r="G18" s="18" t="n">
        <x:f>(1-'假设'!D87)^3</x:f>
        <x:v>0.8573749999999999</x:v>
      </x:c>
    </x:row>
    <x:row r="19" ht="23" customHeight="1">
      <x:c r="A19" s="1"/>
      <x:c r="B19" s="1"/>
      <x:c r="C19" s="1" t="str">
        <x:v>新项目直接成本</x:v>
      </x:c>
      <x:c r="D19" s="1"/>
      <x:c r="E19" s="8" t="n">
        <x:f>(E6*'项目单价'!M7+E7*'项目单价'!M8+E8*'项目单价'!M6)*E18</x:f>
        <x:v>243.57999999999996</x:v>
      </x:c>
      <x:c r="F19" s="8" t="n">
        <x:f>(F6*'项目单价'!M7+F7*'项目单价'!M8+F8*'项目单价'!M6)*F18</x:f>
        <x:v>373.99600000000004</x:v>
      </x:c>
      <x:c r="G19" s="8" t="n">
        <x:f>(G6*'项目单价'!M7+G7*'项目单价'!M8+G8*'项目单价'!M6)*G18</x:f>
        <x:v>439.6618999999999</x:v>
      </x:c>
    </x:row>
    <x:row r="20" ht="23" customHeight="1">
      <x:c r="A20" s="1"/>
      <x:c r="B20" s="1"/>
      <x:c r="C20" s="1" t="str">
        <x:v>全部支持直接成本</x:v>
      </x:c>
      <x:c r="D20" s="1"/>
      <x:c r="E20" s="8" t="n">
        <x:f>SUM('续费队列'!W6:W61)</x:f>
        <x:v>35.82</x:v>
      </x:c>
      <x:c r="F20" s="8" t="n">
        <x:f>SUM('续费队列'!X6:X61)</x:f>
        <x:v>70.038</x:v>
      </x:c>
      <x:c r="G20" s="8" t="n">
        <x:f>SUM('续费队列'!Y6:Y61)</x:f>
        <x:v>115.2342</x:v>
      </x:c>
    </x:row>
    <x:row r="21" ht="23" customHeight="1">
      <x:c r="A21" s="1"/>
      <x:c r="B21" s="1"/>
      <x:c r="C21" s="1" t="str">
        <x:v>销售佣金</x:v>
      </x:c>
      <x:c r="D21" s="1"/>
      <x:c r="E21" s="8" t="n">
        <x:f>(E27-SUM('月度经营'!Q6:AB6))*'假设'!D47</x:f>
        <x:v>33.72</x:v>
      </x:c>
      <x:c r="F21" s="8" t="n">
        <x:f>(F27-0)*'假设'!D47</x:f>
        <x:v>59.148</x:v>
      </x:c>
      <x:c r="G21" s="8" t="n">
        <x:f>(G27-0)*'假设'!D47</x:f>
        <x:v>77.8782</x:v>
      </x:c>
    </x:row>
    <x:row r="22" ht="23" customHeight="1">
      <x:c r="A22" s="1"/>
      <x:c r="B22" s="1"/>
      <x:c r="C22" s="1" t="str">
        <x:v>Y1实施及佣金尾项成本</x:v>
      </x:c>
      <x:c r="D22" s="1"/>
      <x:c r="E22" s="8" t="n">
        <x:f>SUM('月度经营'!Q10:AB10)-SUM(MAX(0,MIN('合同排期'!J6+11,24)-MAX('合同排期'!J6,13)+1)*'合同排期'!O6,MAX(0,MIN('合同排期'!J7+11,24)-MAX('合同排期'!J7,13)+1)*'合同排期'!O7,MAX(0,MIN('合同排期'!J8+11,24)-MAX('合同排期'!J8,13)+1)*'合同排期'!O8,MAX(0,MIN('合同排期'!J9+11,24)-MAX('合同排期'!J9,13)+1)*'合同排期'!O9,MAX(0,MIN('合同排期'!J10+11,24)-MAX('合同排期'!J10,13)+1)*'合同排期'!O10,MAX(0,MIN('合同排期'!J11+11,24)-MAX('合同排期'!J11,13)+1)*'合同排期'!O11,MAX(0,MIN('合同排期'!J12+11,24)-MAX('合同排期'!J12,13)+1)*'合同排期'!O12,MAX(0,MIN('合同排期'!J13+11,24)-MAX('合同排期'!J13,13)+1)*'合同排期'!O13,MAX(0,MIN('合同排期'!J14+11,24)-MAX('合同排期'!J14,13)+1)*'合同排期'!O14,MAX(0,MIN('合同排期'!J15+11,24)-MAX('合同排期'!J15,13)+1)*'合同排期'!O15,MAX(0,MIN('合同排期'!J16+11,24)-MAX('合同排期'!J16,13)+1)*'合同排期'!O16,MAX(0,MIN('合同排期'!J17+11,24)-MAX('合同排期'!J17,13)+1)*'合同排期'!O17,MAX(0,MIN('合同排期'!J18+11,24)-MAX('合同排期'!J18,13)+1)*'合同排期'!O18,MAX(0,MIN('合同排期'!J19+11,24)-MAX('合同排期'!J19,13)+1)*'合同排期'!O19,MAX(0,MIN('合同排期'!J20+11,24)-MAX('合同排期'!J20,13)+1)*'合同排期'!O20,MAX(0,MIN('合同排期'!J21+11,24)-MAX('合同排期'!J21,13)+1)*'合同排期'!O21,MAX(0,MIN('合同排期'!J22+11,24)-MAX('合同排期'!J22,13)+1)*'合同排期'!O22,MAX(0,MIN('合同排期'!J23+11,24)-MAX('合同排期'!J23,13)+1)*'合同排期'!O23,MAX(0,MIN('合同排期'!J24+11,24)-MAX('合同排期'!J24,13)+1)*'合同排期'!O24,MAX(0,MIN('合同排期'!J25+11,24)-MAX('合同排期'!J25,13)+1)*'合同排期'!O25)</x:f>
        <x:v>3.552713678800501e-15</x:v>
      </x:c>
      <x:c r="F22" s="2" t="n">
        <x:f>0</x:f>
        <x:v>0</x:v>
      </x:c>
      <x:c r="G22" s="2" t="n">
        <x:f>0</x:f>
        <x:v>0</x:v>
      </x:c>
    </x:row>
    <x:row r="23" ht="23" customHeight="1">
      <x:c r="A23" s="1"/>
      <x:c r="B23" s="1"/>
      <x:c r="C23" s="1" t="str">
        <x:v>成本合计</x:v>
      </x:c>
      <x:c r="D23" s="8" t="n">
        <x:f>'月度经营'!D10</x:f>
        <x:v>216.4</x:v>
      </x:c>
      <x:c r="E23" s="2" t="n">
        <x:f>SUM(E19:E22)</x:f>
        <x:v>313.12</x:v>
      </x:c>
      <x:c r="F23" s="2" t="n">
        <x:f>SUM(F19:F22)</x:f>
        <x:v>503.1820000000001</x:v>
      </x:c>
      <x:c r="G23" s="2" t="n">
        <x:f>SUM(G19:G22)</x:f>
        <x:v>632.7742999999999</x:v>
      </x:c>
    </x:row>
    <x:row r="24" ht="23" customHeight="1">
      <x:c r="A24" s="1"/>
      <x:c r="B24" s="1"/>
      <x:c r="C24" s="1" t="str">
        <x:v>固定费用</x:v>
      </x:c>
      <x:c r="D24" s="8" t="n">
        <x:f>'月度经营'!D14</x:f>
        <x:v>124.52125255275699</x:v>
      </x:c>
      <x:c r="E24" s="8" t="n">
        <x:f>'假设'!D102</x:f>
        <x:v>175</x:v>
      </x:c>
      <x:c r="F24" s="8" t="n">
        <x:f>'假设'!D117</x:f>
        <x:v>240</x:v>
      </x:c>
      <x:c r="G24" s="8" t="n">
        <x:f>'假设'!D132</x:f>
        <x:v>320</x:v>
      </x:c>
    </x:row>
    <x:row r="25" ht="23" customHeight="1">
      <x:c r="A25" s="1"/>
      <x:c r="B25" s="1"/>
      <x:c r="C25" s="1" t="str">
        <x:v>经营贡献</x:v>
      </x:c>
      <x:c r="D25" s="8" t="n">
        <x:f>'月度经营'!D15</x:f>
        <x:v>69.07874744724302</x:v>
      </x:c>
      <x:c r="E25" s="2" t="n">
        <x:f>E17-E23-E24</x:f>
        <x:v>177.27999999999997</x:v>
      </x:c>
      <x:c r="F25" s="2" t="n">
        <x:f>F17-F23-F24</x:f>
        <x:v>369.278</x:v>
      </x:c>
      <x:c r="G25" s="2" t="n">
        <x:f>G17-G23-G24</x:f>
        <x:v>523.3397000000001</x:v>
      </x:c>
    </x:row>
    <x:row r="26" ht="23" customHeight="1">
      <x:c r="A26" s="1"/>
      <x:c r="B26" s="1"/>
      <x:c r="C26" s="1" t="str">
        <x:v>期末合同支持ARR</x:v>
      </x:c>
      <x:c r="D26" s="8" t="n">
        <x:f>SUM('续费队列'!R6:R61)</x:f>
        <x:v>72</x:v>
      </x:c>
      <x:c r="E26" s="8" t="n">
        <x:f>SUM('续费队列'!S6:S61)</x:f>
        <x:v>164.4</x:v>
      </x:c>
      <x:c r="F26" s="8" t="n">
        <x:f>SUM('续费队列'!T6:T61)</x:f>
        <x:v>303.96000000000004</x:v>
      </x:c>
      <x:c r="G26" s="8" t="n">
        <x:f>SUM('续费队列'!U6:U61)</x:f>
        <x:v>465.564</x:v>
      </x:c>
    </x:row>
    <x:row r="27" ht="23" customHeight="1">
      <x:c r="A27" s="1"/>
      <x:c r="B27" s="1"/>
      <x:c r="C27" s="1" t="str">
        <x:v>预计签约</x:v>
      </x:c>
      <x:c r="D27" s="8" t="n">
        <x:f>'月度经营'!D6</x:f>
        <x:v>476</x:v>
      </x:c>
      <x:c r="E27" s="8" t="n">
        <x:f>E12+E15+SUM('续费队列'!O6:O61)+SUM('月度经营'!Q6:AB6)</x:f>
        <x:v>674.4</x:v>
      </x:c>
      <x:c r="F27" s="8" t="n">
        <x:f>F12+F15+SUM('续费队列'!P6:P61)+0</x:f>
        <x:v>1182.96</x:v>
      </x:c>
      <x:c r="G27" s="8" t="n">
        <x:f>G12+G15+SUM('续费队列'!Q6:Q61)+0</x:f>
        <x:v>1557.564</x:v>
      </x:c>
    </x:row>
    <x:row r="28" ht="23" customHeight="1">
      <x:c r="A28" s="1"/>
      <x:c r="B28" s="1"/>
      <x:c r="C28" s="1" t="str">
        <x:v>Y2–4现金状态</x:v>
      </x:c>
      <x:c r="D28" s="1"/>
      <x:c r="E28" s="1" t="str">
        <x:v>未月化，不作资金决策</x:v>
      </x:c>
      <x:c r="F28" s="1"/>
      <x:c r="G28" s="1"/>
    </x:row>
    <x:row r="29" ht="23" customHeight="1">
      <x:c r="A29" s="1"/>
      <x:c r="B29" s="1"/>
      <x:c r="C29" s="1" t="str">
        <x:v>预计现金回款</x:v>
      </x:c>
      <x:c r="D29" s="8" t="n">
        <x:f>'月度经营'!D9</x:f>
        <x:v>375.5</x:v>
      </x:c>
      <x:c r="E29" s="1"/>
      <x:c r="F29" s="1"/>
      <x:c r="G29" s="1"/>
    </x:row>
    <x:row r="30" ht="23" customHeight="1">
      <x:c r="A30" s="1"/>
      <x:c r="B30" s="1"/>
      <x:c r="C30" s="1" t="str">
        <x:v>预计现金支出</x:v>
      </x:c>
      <x:c r="D30" s="8" t="n">
        <x:f>'月度经营'!D17</x:f>
        <x:v>335.896252552757</x:v>
      </x:c>
      <x:c r="E30" s="1"/>
      <x:c r="F30" s="1"/>
      <x:c r="G30" s="1"/>
    </x:row>
    <x:row r="31" ht="23" customHeight="1">
      <x:c r="A31" s="1"/>
      <x:c r="B31" s="1"/>
      <x:c r="C31" s="1" t="str">
        <x:v>预计净现金流</x:v>
      </x:c>
      <x:c r="D31" s="8" t="n">
        <x:f>'月度经营'!D18</x:f>
        <x:v>39.60374744724304</x:v>
      </x:c>
      <x:c r="E31" s="1"/>
      <x:c r="F31" s="1"/>
      <x:c r="G31" s="1"/>
    </x:row>
    <x:row r="32" ht="23" customHeight="1">
      <x:c r="A32" s="1"/>
      <x:c r="B32" s="1"/>
      <x:c r="C32" s="1" t="str">
        <x:v>工程人月需求</x:v>
      </x:c>
      <x:c r="D32" s="8" t="n">
        <x:f>'月度经营'!D20</x:f>
        <x:v>138</x:v>
      </x:c>
      <x:c r="E32" s="8" t="n">
        <x:f>(E6*'项目单价'!G7+E7*'项目单价'!G8+E8*'项目单价'!G6)*E18+SUM('月度经营'!Q20:AB20)</x:f>
        <x:v>176.7</x:v>
      </x:c>
      <x:c r="F32" s="8" t="n">
        <x:f>(F6*'项目单价'!G7+F7*'项目单价'!G8+F8*'项目单价'!G6)*F18</x:f>
        <x:v>270.75</x:v>
      </x:c>
      <x:c r="G32" s="8" t="n">
        <x:f>(G6*'项目单价'!G7+G7*'项目单价'!G8+G8*'项目单价'!G6)*G18</x:f>
        <x:v>318.9435</x:v>
      </x:c>
    </x:row>
    <x:row r="33" ht="23" customHeight="1">
      <x:c r="A33" s="1"/>
      <x:c r="B33" s="1"/>
      <x:c r="C33" s="1"/>
      <x:c r="D33" s="1"/>
      <x:c r="E33" s="1"/>
      <x:c r="F33" s="1"/>
      <x:c r="G33" s="1"/>
    </x:row>
    <x:row r="34" ht="23" customHeight="1">
      <x:c r="A34" s="1"/>
      <x:c r="B34" s="1"/>
      <x:c r="C34" s="1"/>
      <x:c r="D34" s="1"/>
      <x:c r="E34" s="1"/>
      <x:c r="F34" s="1"/>
      <x:c r="G34" s="1"/>
    </x:row>
    <x:row r="35" ht="26" customHeight="1">
      <x:c r="A35" s="1"/>
      <x:c r="B35" s="1"/>
      <x:c r="C35" s="1" t="str">
        <x:v>长期口径</x:v>
      </x:c>
      <x:c r="D35" s="17" t="str">
        <x:v>Y2–4新支持统一M7起算的半年度队列假设；续费按各队列周年，首期不提前折损。</x:v>
      </x:c>
      <x:c r="E35" s="17"/>
      <x:c r="F35" s="17"/>
      <x:c r="G35" s="17"/>
      <x:c r="H35" s="19"/>
      <x:c r="I35" s="19"/>
      <x:c r="J35" s="19"/>
      <x:c r="K35" s="19"/>
    </x:row>
    <x:row r="36" ht="26" customHeight="1">
      <x:c r="A36" s="1"/>
      <x:c r="B36" s="1"/>
      <x:c r="C36" s="1" t="str">
        <x:v>现金限制</x:v>
      </x:c>
      <x:c r="D36" s="17" t="str">
        <x:v>取消签约×90%的回款近似。Y2–4资金需逐合同开票与回款排程后才能批准。</x:v>
      </x:c>
      <x:c r="E36" s="17"/>
      <x:c r="F36" s="17"/>
      <x:c r="G36" s="17"/>
      <x:c r="H36" s="19"/>
      <x:c r="I36" s="19"/>
      <x:c r="J36" s="19"/>
      <x:c r="K36" s="19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31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75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</x:row>
    <x:row r="2" ht="23" customHeight="1">
      <x:c r="A2" s="1"/>
      <x:c r="B2" s="1"/>
      <x:c r="C2" s="3" t="str">
        <x:v>布比中东 市场校验（金额：万美元）</x:v>
      </x:c>
      <x:c r="D2" s="3"/>
      <x:c r="E2" s="3"/>
      <x:c r="F2" s="3"/>
      <x:c r="G2" s="3"/>
    </x:row>
    <x:row r="3" ht="23" customHeight="1">
      <x:c r="A3" s="1"/>
      <x:c r="B3" s="1"/>
      <x:c r="C3" s="1" t="str">
        <x:v>情景</x:v>
      </x:c>
      <x:c r="D3" s="8" t="str">
        <x:f>CHOOSE('假设'!D4,"谨慎进入","资源到位目标","突破目标")</x:f>
        <x:v>资源到位目标</x:v>
      </x:c>
      <x:c r="E3" s="1"/>
      <x:c r="F3" s="1"/>
      <x:c r="G3" s="1"/>
    </x:row>
    <x:row r="4" ht="23" customHeight="1">
      <x:c r="A4" s="1"/>
      <x:c r="B4" s="1"/>
      <x:c r="C4" s="1"/>
      <x:c r="D4" s="1"/>
      <x:c r="E4" s="1"/>
      <x:c r="F4" s="1"/>
      <x:c r="G4" s="1"/>
    </x:row>
    <x:row r="5" ht="32" customHeight="1">
      <x:c r="A5" s="1"/>
      <x:c r="B5" s="1"/>
      <x:c r="C5" s="6" t="str">
        <x:v>宏观校验</x:v>
      </x:c>
      <x:c r="D5" s="6" t="str">
        <x:v>2025百万美元</x:v>
      </x:c>
      <x:c r="E5" s="6" t="str">
        <x:v>2026估计</x:v>
      </x:c>
      <x:c r="F5" s="6" t="str">
        <x:v>2030外推</x:v>
      </x:c>
      <x:c r="G5" s="6" t="str">
        <x:v>备注</x:v>
      </x:c>
    </x:row>
    <x:row r="6" ht="23" customHeight="1">
      <x:c r="A6" s="1"/>
      <x:c r="B6" s="1"/>
      <x:c r="C6" s="1" t="str">
        <x:v>UAE</x:v>
      </x:c>
      <x:c r="D6" s="10" t="n">
        <x:v>818.6</x:v>
      </x:c>
      <x:c r="E6" s="2" t="n">
        <x:f>D6*1.25</x:f>
        <x:v>1023.25</x:v>
      </x:c>
      <x:c r="F6" s="2" t="n">
        <x:f>D6*1.25^5</x:f>
        <x:v>2498.1689453125</x:v>
      </x:c>
      <x:c r="G6" s="1" t="str">
        <x:v>H：统一25%情景增速，低于出版商，不宣称预测事实</x:v>
      </x:c>
    </x:row>
    <x:row r="7" ht="23" customHeight="1">
      <x:c r="A7" s="1"/>
      <x:c r="B7" s="1"/>
      <x:c r="C7" s="1" t="str">
        <x:v>沙特</x:v>
      </x:c>
      <x:c r="D7" s="10" t="n">
        <x:v>380.7</x:v>
      </x:c>
      <x:c r="E7" s="2" t="n">
        <x:f>D7*1.25</x:f>
        <x:v>475.875</x:v>
      </x:c>
      <x:c r="F7" s="2" t="n">
        <x:f>D7*1.25^5</x:f>
        <x:v>1161.80419921875</x:v>
      </x:c>
      <x:c r="G7" s="1" t="str">
        <x:v>R01/R02不同出版商，仅近似求和，不是同口径官方统计</x:v>
      </x:c>
    </x:row>
    <x:row r="8" ht="23" customHeight="1">
      <x:c r="A8" s="1"/>
      <x:c r="B8" s="1"/>
      <x:c r="C8" s="1" t="str">
        <x:v>两国近似宽口径</x:v>
      </x:c>
      <x:c r="D8" s="2" t="n">
        <x:f>SUM(D6:D7)</x:f>
        <x:v>1199.3</x:v>
      </x:c>
      <x:c r="E8" s="2" t="n">
        <x:f>SUM(E6:E7)</x:f>
        <x:v>1499.125</x:v>
      </x:c>
      <x:c r="F8" s="2" t="n">
        <x:f>SUM(F6:F7)</x:f>
        <x:v>3659.97314453125</x:v>
      </x:c>
      <x:c r="G8" s="1"/>
    </x:row>
    <x:row r="9" ht="23" customHeight="1">
      <x:c r="A9" s="1"/>
      <x:c r="B9" s="1"/>
      <x:c r="C9" s="1"/>
      <x:c r="D9" s="1"/>
      <x:c r="E9" s="1"/>
      <x:c r="F9" s="1"/>
      <x:c r="G9" s="1"/>
    </x:row>
    <x:row r="10" ht="32" customHeight="1">
      <x:c r="A10" s="1"/>
      <x:c r="B10" s="1"/>
      <x:c r="C10" s="6" t="str">
        <x:v>SAM折减假设</x:v>
      </x:c>
      <x:c r="D10" s="6" t="str">
        <x:v>相关企业场景占比</x:v>
      </x:c>
      <x:c r="E10" s="6" t="str">
        <x:v>外购可服务比例</x:v>
      </x:c>
      <x:c r="F10" s="6" t="str">
        <x:v>可准入比例</x:v>
      </x:c>
      <x:c r="G10" s="6" t="str">
        <x:v>2026百万美元</x:v>
      </x:c>
    </x:row>
    <x:row r="11" ht="23" customHeight="1">
      <x:c r="A11" s="1"/>
      <x:c r="B11" s="1"/>
      <x:c r="C11" s="1" t="str">
        <x:v>低</x:v>
      </x:c>
      <x:c r="D11" s="15" t="n">
        <x:v>0.1</x:v>
      </x:c>
      <x:c r="E11" s="15" t="n">
        <x:v>0.3</x:v>
      </x:c>
      <x:c r="F11" s="15" t="n">
        <x:v>0.3</x:v>
      </x:c>
      <x:c r="G11" s="2" t="n">
        <x:f>E8*D11*E11*F11</x:f>
        <x:v>13.492124999999998</x:v>
      </x:c>
    </x:row>
    <x:row r="12" ht="23" customHeight="1">
      <x:c r="A12" s="1"/>
      <x:c r="B12" s="1"/>
      <x:c r="C12" s="1" t="str">
        <x:v>中</x:v>
      </x:c>
      <x:c r="D12" s="15" t="n">
        <x:v>0.2</x:v>
      </x:c>
      <x:c r="E12" s="15" t="n">
        <x:v>0.5</x:v>
      </x:c>
      <x:c r="F12" s="15" t="n">
        <x:v>0.5</x:v>
      </x:c>
      <x:c r="G12" s="2" t="n">
        <x:f>E8*D12*E12*F12</x:f>
        <x:v>74.95625</x:v>
      </x:c>
    </x:row>
    <x:row r="13" ht="23" customHeight="1">
      <x:c r="A13" s="1"/>
      <x:c r="B13" s="1"/>
      <x:c r="C13" s="1" t="str">
        <x:v>高</x:v>
      </x:c>
      <x:c r="D13" s="15" t="n">
        <x:v>0.3</x:v>
      </x:c>
      <x:c r="E13" s="15" t="n">
        <x:v>0.6</x:v>
      </x:c>
      <x:c r="F13" s="15" t="n">
        <x:v>0.7</x:v>
      </x:c>
      <x:c r="G13" s="2" t="n">
        <x:f>E8*D13*E13*F13</x:f>
        <x:v>188.88974999999996</x:v>
      </x:c>
    </x:row>
    <x:row r="14" ht="23" customHeight="1">
      <x:c r="A14" s="1"/>
      <x:c r="B14" s="1"/>
      <x:c r="C14" s="1"/>
      <x:c r="D14" s="1"/>
      <x:c r="E14" s="1"/>
      <x:c r="F14" s="1"/>
      <x:c r="G14" s="1"/>
    </x:row>
    <x:row r="15" ht="32" customHeight="1">
      <x:c r="A15" s="1"/>
      <x:c r="B15" s="1"/>
      <x:c r="C15" s="6" t="str">
        <x:v>可开发账户规划池</x:v>
      </x:c>
      <x:c r="D15" s="6" t="str">
        <x:v>目标法人数量</x:v>
      </x:c>
      <x:c r="E15" s="6" t="str">
        <x:v>年内有采购预算比例</x:v>
      </x:c>
      <x:c r="F15" s="6" t="str">
        <x:v>布比净合同均额</x:v>
      </x:c>
      <x:c r="G15" s="6" t="str">
        <x:v>年度机会池万美元</x:v>
      </x:c>
    </x:row>
    <x:row r="16" ht="23" customHeight="1">
      <x:c r="A16" s="1"/>
      <x:c r="B16" s="1"/>
      <x:c r="C16" s="1" t="str">
        <x:v>UAE企业</x:v>
      </x:c>
      <x:c r="D16" s="10" t="n">
        <x:v>100</x:v>
      </x:c>
      <x:c r="E16" s="15" t="n">
        <x:v>0.15</x:v>
      </x:c>
      <x:c r="F16" s="10" t="n">
        <x:v>67</x:v>
      </x:c>
      <x:c r="G16" s="2" t="n">
        <x:f>D16*E16*F16</x:f>
        <x:v>1005</x:v>
      </x:c>
    </x:row>
    <x:row r="17" ht="23" customHeight="1">
      <x:c r="A17" s="1"/>
      <x:c r="B17" s="1"/>
      <x:c r="C17" s="1" t="str">
        <x:v>沙特企业</x:v>
      </x:c>
      <x:c r="D17" s="10" t="n">
        <x:v>120</x:v>
      </x:c>
      <x:c r="E17" s="15" t="n">
        <x:v>0.12</x:v>
      </x:c>
      <x:c r="F17" s="10" t="n">
        <x:v>67</x:v>
      </x:c>
      <x:c r="G17" s="2" t="n">
        <x:f>D17*E17*F17</x:f>
        <x:v>964.8</x:v>
      </x:c>
    </x:row>
    <x:row r="18" ht="23" customHeight="1">
      <x:c r="A18" s="1"/>
      <x:c r="B18" s="1"/>
      <x:c r="C18" s="1" t="str">
        <x:v>两国产业运营方</x:v>
      </x:c>
      <x:c r="D18" s="10" t="n">
        <x:v>30</x:v>
      </x:c>
      <x:c r="E18" s="15" t="n">
        <x:v>0.12</x:v>
      </x:c>
      <x:c r="F18" s="10" t="n">
        <x:v>144</x:v>
      </x:c>
      <x:c r="G18" s="2" t="n">
        <x:f>D18*E18*F18</x:f>
        <x:v>518.4</x:v>
      </x:c>
    </x:row>
    <x:row r="19" ht="23" customHeight="1">
      <x:c r="A19" s="1"/>
      <x:c r="B19" s="1"/>
      <x:c r="C19" s="1" t="str">
        <x:v>合计</x:v>
      </x:c>
      <x:c r="D19" s="2" t="n">
        <x:f>SUM(D16:D18)</x:f>
        <x:v>250</x:v>
      </x:c>
      <x:c r="E19" s="1"/>
      <x:c r="F19" s="1"/>
      <x:c r="G19" s="2" t="n">
        <x:f>SUM(G16:G18)</x:f>
        <x:v>2488.2</x:v>
      </x:c>
    </x:row>
    <x:row r="20" ht="23" customHeight="1">
      <x:c r="A20" s="1"/>
      <x:c r="B20" s="1"/>
      <x:c r="C20" s="1"/>
      <x:c r="D20" s="1"/>
      <x:c r="E20" s="1"/>
      <x:c r="F20" s="1"/>
      <x:c r="G20" s="1"/>
    </x:row>
    <x:row r="21" ht="23" customHeight="1">
      <x:c r="A21" s="1"/>
      <x:c r="B21" s="1"/>
      <x:c r="C21" s="1" t="str">
        <x:v>目标占规划池比例</x:v>
      </x:c>
      <x:c r="D21" s="18" t="n">
        <x:f>'经营总览'!D6/G19</x:f>
        <x:v>0.19130294992363958</x:v>
      </x:c>
      <x:c r="E21" s="1"/>
      <x:c r="F21" s="1"/>
      <x:c r="G21" s="1"/>
    </x:row>
    <x:row r="22" ht="23" customHeight="1">
      <x:c r="A22" s="1"/>
      <x:c r="B22" s="1"/>
      <x:c r="C22" s="1" t="str">
        <x:v>公司收入低值万元人民币</x:v>
      </x:c>
      <x:c r="D22" s="10" t="n">
        <x:v>9600</x:v>
      </x:c>
      <x:c r="E22" s="1" t="str">
        <x:v>L01低置信度量级，不等于实际最新收入</x:v>
      </x:c>
      <x:c r="F22" s="1"/>
      <x:c r="G22" s="1"/>
    </x:row>
    <x:row r="23" ht="23" customHeight="1">
      <x:c r="A23" s="1"/>
      <x:c r="B23" s="1"/>
      <x:c r="C23" s="1" t="str">
        <x:v>公司收入高值万元人民币</x:v>
      </x:c>
      <x:c r="D23" s="10" t="n">
        <x:v>11800</x:v>
      </x:c>
      <x:c r="E23" s="1" t="str">
        <x:v>L01不同来源范围，不求假精确平均</x:v>
      </x:c>
      <x:c r="F23" s="1"/>
      <x:c r="G23" s="1"/>
    </x:row>
    <x:row r="24" ht="23" customHeight="1">
      <x:c r="A24" s="1"/>
      <x:c r="B24" s="1"/>
      <x:c r="C24" s="1" t="str">
        <x:v>中东收入/公司低值</x:v>
      </x:c>
      <x:c r="D24" s="18" t="n">
        <x:f>'经营总览'!D7*'假设'!D62/D22</x:f>
        <x:v>0.3075</x:v>
      </x:c>
      <x:c r="E24" s="1"/>
      <x:c r="F24" s="1"/>
      <x:c r="G24" s="1"/>
    </x:row>
    <x:row r="25" ht="23" customHeight="1">
      <x:c r="A25" s="1"/>
      <x:c r="B25" s="1"/>
      <x:c r="C25" s="1" t="str">
        <x:v>中东收入/公司高值</x:v>
      </x:c>
      <x:c r="D25" s="18" t="n">
        <x:f>'经营总览'!D7*'假设'!D62/D23</x:f>
        <x:v>0.2501694915254237</x:v>
      </x:c>
      <x:c r="E25" s="1"/>
      <x:c r="F25" s="1"/>
      <x:c r="G25" s="1"/>
    </x:row>
    <x:row r="26" ht="23" customHeight="1">
      <x:c r="A26" s="1"/>
      <x:c r="B26" s="1"/>
      <x:c r="C26" s="1"/>
      <x:c r="D26" s="1"/>
      <x:c r="E26" s="1"/>
      <x:c r="F26" s="1"/>
      <x:c r="G26" s="1"/>
    </x:row>
    <x:row r="27" ht="26" customHeight="1">
      <x:c r="A27" s="1"/>
      <x:c r="B27" s="1"/>
      <x:c r="C27" s="1" t="str">
        <x:v>模型限制</x:v>
      </x:c>
      <x:c r="D27" s="17" t="str">
        <x:v>250家为待建立的命名账户规划池，不是已统计的市场客户数。不能直接当作事实SAM。</x:v>
      </x:c>
      <x:c r="E27" s="17"/>
      <x:c r="F27" s="17"/>
      <x:c r="G27" s="17"/>
      <x:c r="H27" s="19"/>
      <x:c r="I27" s="19"/>
      <x:c r="J27" s="19"/>
      <x:c r="K27" s="19"/>
    </x:row>
    <x:row r="28" ht="23" customHeight="1">
      <x:c r="A28" s="1"/>
      <x:c r="B28" s="1"/>
      <x:c r="C28" s="1"/>
      <x:c r="D28" s="1"/>
      <x:c r="E28" s="1"/>
      <x:c r="F28" s="1"/>
      <x:c r="G28" s="1"/>
    </x:row>
    <x:row r="29" ht="23" customHeight="1">
      <x:c r="A29" s="1"/>
      <x:c r="B29" s="1"/>
      <x:c r="C29" s="1" t="str">
        <x:v>出版商原始增长展示</x:v>
      </x:c>
      <x:c r="D29" s="1" t="str">
        <x:v>2025百万美元</x:v>
      </x:c>
      <x:c r="E29" s="1" t="str">
        <x:v>原始CAGR</x:v>
      </x:c>
      <x:c r="F29" s="1" t="str">
        <x:v>2026机械外推</x:v>
      </x:c>
      <x:c r="G29" s="1" t="str">
        <x:v>2030机械外推</x:v>
      </x:c>
    </x:row>
    <x:row r="30" ht="23" customHeight="1">
      <x:c r="A30" s="1"/>
      <x:c r="B30" s="1"/>
      <x:c r="C30" s="1" t="str">
        <x:v>UAE R01</x:v>
      </x:c>
      <x:c r="D30" s="10" t="n">
        <x:v>818.6</x:v>
      </x:c>
      <x:c r="E30" s="15" t="n">
        <x:v>0.683</x:v>
      </x:c>
      <x:c r="F30" s="2" t="n">
        <x:f>D30*(1+E30)</x:f>
        <x:v>1377.7038</x:v>
      </x:c>
      <x:c r="G30" s="2" t="n">
        <x:f>D30*(1+E30)^5</x:f>
        <x:v>11053.309231793159</x:v>
      </x:c>
    </x:row>
    <x:row r="31" ht="23" customHeight="1">
      <x:c r="A31" s="1"/>
      <x:c r="B31" s="1"/>
      <x:c r="C31" s="1" t="str">
        <x:v>沙特 R02</x:v>
      </x:c>
      <x:c r="D31" s="10" t="n">
        <x:v>380.7</x:v>
      </x:c>
      <x:c r="E31" s="15" t="n">
        <x:v>0.6481</x:v>
      </x:c>
      <x:c r="F31" s="2" t="n">
        <x:f>D31*(1+E31)</x:f>
        <x:v>627.4316699999999</x:v>
      </x:c>
      <x:c r="G31" s="2" t="n">
        <x:f>D31*(1+E31)^5</x:f>
        <x:v>4629.143819001856</x:v>
      </x:c>
    </x:row>
    <x:row r="32" ht="23" customHeight="1">
      <x:c r="A32" s="1"/>
      <x:c r="B32" s="1"/>
      <x:c r="C32" s="1" t="str">
        <x:v>说明</x:v>
      </x:c>
      <x:c r="D32" s="1" t="str">
        <x:v>原始增速只展示出版商预期，不用于公司目标；2026和2030中间值为机械外推。</x:v>
      </x:c>
      <x:c r="E32" s="1"/>
      <x:c r="F32" s="1"/>
      <x:c r="G32" s="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10" hidden="0" customWidth="1"/>
    <x:col min="4" max="4" width="25" hidden="0" customWidth="1"/>
    <x:col min="5" max="5" width="25" hidden="0" customWidth="1"/>
    <x:col min="6" max="6" width="25" hidden="0" customWidth="1"/>
    <x:col min="7" max="7" width="15" hidden="0" customWidth="1"/>
    <x:col min="8" max="8" width="72" hidden="0" customWidth="1"/>
    <x:col min="9" max="9" width="90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23" customHeight="1">
      <x:c r="A2" s="1"/>
      <x:c r="B2" s="1"/>
      <x:c r="C2" s="3" t="str">
        <x:v>布比中东 来源（金额：万美元）</x:v>
      </x:c>
      <x:c r="D2" s="3"/>
      <x:c r="E2" s="3"/>
      <x:c r="F2" s="3"/>
      <x:c r="G2" s="3"/>
      <x:c r="H2" s="3"/>
      <x:c r="I2" s="3"/>
    </x:row>
    <x:row r="3" ht="23" customHeight="1">
      <x:c r="A3" s="1"/>
      <x:c r="B3" s="1"/>
      <x:c r="C3" s="1" t="str">
        <x:v>情景</x:v>
      </x:c>
      <x:c r="D3" s="8" t="str">
        <x:f>CHOOSE('假设'!D4,"谨慎进入","资源到位目标","突破目标")</x:f>
        <x:v>资源到位目标</x:v>
      </x:c>
      <x:c r="E3" s="1"/>
      <x:c r="F3" s="1"/>
      <x:c r="G3" s="1"/>
      <x:c r="H3" s="1"/>
      <x:c r="I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</x:row>
    <x:row r="5" ht="32" customHeight="1">
      <x:c r="A5" s="1"/>
      <x:c r="B5" s="1"/>
      <x:c r="C5" s="6" t="str">
        <x:v>编号</x:v>
      </x:c>
      <x:c r="D5" s="6" t="str">
        <x:v>指标</x:v>
      </x:c>
      <x:c r="E5" s="6" t="str">
        <x:v>时点</x:v>
      </x:c>
      <x:c r="F5" s="6" t="str">
        <x:v>单位</x:v>
      </x:c>
      <x:c r="G5" s="6" t="str">
        <x:v>数值</x:v>
      </x:c>
      <x:c r="H5" s="6" t="str">
        <x:v>适用范围和限制</x:v>
      </x:c>
      <x:c r="I5" s="6" t="str">
        <x:v>原始来源</x:v>
      </x:c>
    </x:row>
    <x:row r="6" ht="65" customHeight="1">
      <x:c r="A6" s="1"/>
      <x:c r="B6" s="1"/>
      <x:c r="C6" s="20" t="str">
        <x:v>R01</x:v>
      </x:c>
      <x:c r="D6" s="20" t="str">
        <x:v>UAE区块链市场</x:v>
      </x:c>
      <x:c r="E6" s="20" t="str">
        <x:v>2025</x:v>
      </x:c>
      <x:c r="F6" s="20" t="str">
        <x:v>USD million</x:v>
      </x:c>
      <x:c r="G6" s="21" t="n">
        <x:v>818.6</x:v>
      </x:c>
      <x:c r="H6" s="20" t="str">
        <x:v>2030=11039.5；CAGR68.3%。商业研究摘要，非官方统计，完整方法不可见。仅作宏观校验。；2026-10-20复盘：直链重定向主页，搜索缓存仍有原值，仅作历史摘要参考。</x:v>
      </x:c>
      <x:c r="I6" s="20" t="str">
        <x:v>https://www.marketsandmarkets.com/Market-Reports/geography/blockchain-technology-market/UAE</x:v>
      </x:c>
    </x:row>
    <x:row r="7" ht="65" customHeight="1">
      <x:c r="A7" s="1"/>
      <x:c r="B7" s="1"/>
      <x:c r="C7" s="20" t="str">
        <x:v>R02</x:v>
      </x:c>
      <x:c r="D7" s="20" t="str">
        <x:v>沙特区块链市场</x:v>
      </x:c>
      <x:c r="E7" s="20" t="str">
        <x:v>2025</x:v>
      </x:c>
      <x:c r="F7" s="20" t="str">
        <x:v>USD million</x:v>
      </x:c>
      <x:c r="G7" s="21" t="n">
        <x:v>380.7</x:v>
      </x:c>
      <x:c r="H7" s="20" t="str">
        <x:v>2034=38064.9；CAGR64.81%。IMARC商业研究摘要；平台与服务口径，非客户可采购预算。</x:v>
      </x:c>
      <x:c r="I7" s="20" t="str">
        <x:v>https://www.imarcgroup.com/saudi-arabia-blockchain-market</x:v>
      </x:c>
    </x:row>
    <x:row r="8" ht="65" customHeight="1">
      <x:c r="A8" s="1"/>
      <x:c r="B8" s="1"/>
      <x:c r="C8" s="20" t="str">
        <x:v>R03</x:v>
      </x:c>
      <x:c r="D8" s="20" t="str">
        <x:v>沙特区块链市场冲突源</x:v>
      </x:c>
      <x:c r="E8" s="20" t="str">
        <x:v>2025</x:v>
      </x:c>
      <x:c r="F8" s="20" t="str">
        <x:v>USD million</x:v>
      </x:c>
      <x:c r="G8" s="21" t="n">
        <x:v>11200</x:v>
      </x:c>
      <x:c r="H8" s="20" t="str">
        <x:v>P&amp;S公开摘要较R02高约29倍；缺少可复核口径桥接，不作预算基数，也不平均。</x:v>
      </x:c>
      <x:c r="I8" s="20" t="str">
        <x:v>https://www.psmarketresearch.com/market-analysis/saudi-arabia-blockchain-technology-market-report</x:v>
      </x:c>
    </x:row>
    <x:row r="9" ht="65" customHeight="1">
      <x:c r="A9" s="1"/>
      <x:c r="B9" s="1"/>
      <x:c r="C9" s="20" t="str">
        <x:v>R04</x:v>
      </x:c>
      <x:c r="D9" s="20" t="str">
        <x:v>中东非洲区块链市场</x:v>
      </x:c>
      <x:c r="E9" s="20" t="str">
        <x:v>2024</x:v>
      </x:c>
      <x:c r="F9" s="20" t="str">
        <x:v>USD million</x:v>
      </x:c>
      <x:c r="G9" s="21" t="n">
        <x:v>3850</x:v>
      </x:c>
      <x:c r="H9" s="20" t="str">
        <x:v>Ken Research：2030=53010，55% CAGR。包含非洲，不等于中东，更不等于两国SAM。</x:v>
      </x:c>
      <x:c r="I9" s="20" t="str">
        <x:v>https://www.kenresearch.com/industry-reports/mea-blockchain-market</x:v>
      </x:c>
    </x:row>
    <x:row r="10" ht="65" customHeight="1">
      <x:c r="A10" s="1"/>
      <x:c r="B10" s="1"/>
      <x:c r="C10" s="20" t="str">
        <x:v>R05</x:v>
      </x:c>
      <x:c r="D10" s="20" t="str">
        <x:v>MENA链上接收价值</x:v>
      </x:c>
      <x:c r="E10" s="20" t="str">
        <x:v>2023.07–2024.06</x:v>
      </x:c>
      <x:c r="F10" s="20" t="str">
        <x:v>USD billion</x:v>
      </x:c>
      <x:c r="G10" s="21" t="n">
        <x:v>338.7</x:v>
      </x:c>
      <x:c r="H10" s="20" t="str">
        <x:v>Chainalysis交易流量，包含土耳其等；禁止计入软件收入市场。</x:v>
      </x:c>
      <x:c r="I10" s="20" t="str">
        <x:v>https://www.chainalysis.com/blog/middle-east-north-africa-crypto-adoption-2024/</x:v>
      </x:c>
    </x:row>
    <x:row r="11" ht="65" customHeight="1">
      <x:c r="A11" s="1"/>
      <x:c r="B11" s="1"/>
      <x:c r="C11" s="20" t="str">
        <x:v>R06</x:v>
      </x:c>
      <x:c r="D11" s="20" t="str">
        <x:v>架构师固定月薪</x:v>
      </x:c>
      <x:c r="E11" s="20" t="str">
        <x:v>Q4 2024，2025版</x:v>
      </x:c>
      <x:c r="F11" s="20" t="str">
        <x:v>AED/月</x:v>
      </x:c>
      <x:c r="G11" s="21" t="n">
        <x:v>42500</x:v>
      </x:c>
      <x:c r="H11" s="20" t="str">
        <x:v>Hays PDF第72页，区间35000–50000；固定月薪已含固定津贴，雇主成本另计。2026新版可见但未取得完整表，不冒称最新报价。</x:v>
      </x:c>
      <x:c r="I11" s="20" t="str">
        <x:v>https://www.hays.ae/documents/d/hays-salary-guide-ae/hays-gcc-salary-guide-2025-1</x:v>
      </x:c>
    </x:row>
    <x:row r="12" ht="65" customHeight="1">
      <x:c r="A12" s="1"/>
      <x:c r="B12" s="1"/>
      <x:c r="C12" s="20" t="str">
        <x:v>R07</x:v>
      </x:c>
      <x:c r="D12" s="20" t="str">
        <x:v>AED/USD</x:v>
      </x:c>
      <x:c r="E12" s="20" t="str">
        <x:v>核验2026-10-20</x:v>
      </x:c>
      <x:c r="F12" s="20" t="str">
        <x:v>AED/USD</x:v>
      </x:c>
      <x:c r="G12" s="21" t="n">
        <x:v>3.6725</x:v>
      </x:c>
      <x:c r="H12" s="20" t="str">
        <x:v>央行公开汇率；预算人民币汇率7.2为假设而非即期报价。</x:v>
      </x:c>
      <x:c r="I12" s="20" t="str">
        <x:v>https://centralbank.ae/umbraco/Surface/Exchange/GetExchangeRateAllCurrency</x:v>
      </x:c>
    </x:row>
    <x:row r="13" ht="65" customHeight="1">
      <x:c r="A13" s="1"/>
      <x:c r="B13" s="1"/>
      <x:c r="C13" s="20" t="str">
        <x:v>R08</x:v>
      </x:c>
      <x:c r="D13" s="20" t="str">
        <x:v>SAR/USD</x:v>
      </x:c>
      <x:c r="E13" s="20" t="str">
        <x:v>核验2026-10-20</x:v>
      </x:c>
      <x:c r="F13" s="20" t="str">
        <x:v>SAR/USD</x:v>
      </x:c>
      <x:c r="G13" s="21" t="n">
        <x:v>3.75</x:v>
      </x:c>
      <x:c r="H13" s="20" t="str">
        <x:v>SAMA公开汇率。</x:v>
      </x:c>
      <x:c r="I13" s="20" t="str">
        <x:v>https://sama.gov.sa/en-US/Currency/FinExc/pages/currency.aspx</x:v>
      </x:c>
    </x:row>
    <x:row r="14" ht="65" customHeight="1">
      <x:c r="A14" s="1"/>
      <x:c r="B14" s="1"/>
      <x:c r="C14" s="20" t="str">
        <x:v>R09</x:v>
      </x:c>
      <x:c r="D14" s="20" t="str">
        <x:v>布比国际战略</x:v>
      </x:c>
      <x:c r="E14" s="20" t="str">
        <x:v>官网核验2026-10-19</x:v>
      </x:c>
      <x:c r="F14" s="20" t="str">
        <x:v>定性</x:v>
      </x:c>
      <x:c r="G14" s="20"/>
      <x:c r="H14" s="20" t="str">
        <x:v>国际产业公链全栈建设、联合运营、资产数字化及跨境可信业务。公司自述，不证明订单或中东独家权。</x:v>
      </x:c>
      <x:c r="I14" s="20" t="str">
        <x:v>https://www.bubi.cn/about</x:v>
      </x:c>
    </x:row>
    <x:row r="15" ht="65" customHeight="1">
      <x:c r="A15" s="1"/>
      <x:c r="B15" s="1"/>
      <x:c r="C15" s="20" t="str">
        <x:v>R10</x:v>
      </x:c>
      <x:c r="D15" s="20" t="str">
        <x:v>Zetrix财报</x:v>
      </x:c>
      <x:c r="E15" s="20" t="str">
        <x:v>FY2025</x:v>
      </x:c>
      <x:c r="F15" s="20" t="str">
        <x:v>MYR billion</x:v>
      </x:c>
      <x:c r="G15" s="21" t="n">
        <x:v>1.34</x:v>
      </x:c>
      <x:c r="H15" s="20" t="str">
        <x:v>年报PDF印刷21页／网页22，总营收含传统政务、Web3服务、代币和节点销售；不能用其利润率直接套布比。</x:v>
      </x:c>
      <x:c r="I15" s="20" t="str">
        <x:v>https://www.insage.com.my/interactiveAR/ZETRIX/interactiveAR2025/22/</x:v>
      </x:c>
    </x:row>
    <x:row r="16" ht="65" customHeight="1">
      <x:c r="A16" s="1"/>
      <x:c r="B16" s="1"/>
      <x:c r="C16" s="20" t="str">
        <x:v>R11</x:v>
      </x:c>
      <x:c r="D16" s="20" t="str">
        <x:v>迪拜地产代币化二期</x:v>
      </x:c>
      <x:c r="E16" s="20" t="str">
        <x:v>2026-02-09</x:v>
      </x:c>
      <x:c r="F16" s="20" t="str">
        <x:v>定性</x:v>
      </x:c>
      <x:c r="G16" s="20"/>
      <x:c r="H16" s="20" t="str">
        <x:v>DLD宣布2月20日起二级市场转售，约780万枚代币；说明应用存在，不是技术商收入。</x:v>
      </x:c>
      <x:c r="I16" s="20" t="str">
        <x:v>https://backoffice.dubailand.gov.ae/en/news-media/dubai-land-department-launches-phase-ii-of-the-real-estate-tokenisation-project-enabling-resale-in-the-secondary-market-from-20-february/</x:v>
      </x:c>
    </x:row>
    <x:row r="17" ht="65" customHeight="1">
      <x:c r="A17" s="1"/>
      <x:c r="B17" s="1"/>
      <x:c r="C17" s="20" t="str">
        <x:v>L01</x:v>
      </x:c>
      <x:c r="D17" s="20" t="str">
        <x:v>布比收入量级</x:v>
      </x:c>
      <x:c r="E17" s="20" t="str">
        <x:v>低值材料声称2023；高值年报年份未明</x:v>
      </x:c>
      <x:c r="F17" s="20" t="str">
        <x:v>人民币万元</x:v>
      </x:c>
      <x:c r="G17" s="21" t="n">
        <x:v>11756.93</x:v>
      </x:c>
      <x:c r="H17" s="20" t="str">
        <x:v>《综合分析》声称2023营收9608.65万元；《经营与战略研判》第3页列主营收入11756.93万元。均为用户二手材料，非审计原件；只取9600–11800万元量级敏感性，不认定公司实际营收。</x:v>
      </x:c>
      <x:c r="I17" s="20" t="str">
        <x:v>本地：布比公司综合分析.pdf（营收趋势）；布比（北京）网络技术有限公司 · 经营与战略研判报告 · 2026-10-19.pdf 第3页</x:v>
      </x:c>
    </x:row>
    <x:row r="18" ht="65" customHeight="1">
      <x:c r="A18" s="1"/>
      <x:c r="B18" s="1"/>
      <x:c r="C18" s="20" t="str">
        <x:v>L02</x:v>
      </x:c>
      <x:c r="D18" s="20" t="str">
        <x:v>布比人员量级</x:v>
      </x:c>
      <x:c r="E18" s="20" t="str">
        <x:v>快照口径待核</x:v>
      </x:c>
      <x:c r="F18" s="20" t="str">
        <x:v>人</x:v>
      </x:c>
      <x:c r="G18" s="21" t="n">
        <x:v>129</x:v>
      </x:c>
      <x:c r="H18" s="20" t="str">
        <x:v>同页年报129人与参保59人不同，既非可用工程师数也不能推断裁员；容量只做条件测试。</x:v>
      </x:c>
      <x:c r="I18" s="20" t="str">
        <x:v>本地：同L01，第3页</x:v>
      </x:c>
    </x:row>
    <x:row r="19" ht="65" customHeight="1">
      <x:c r="A19" s="1"/>
      <x:c r="B19" s="1"/>
      <x:c r="C19" s="20" t="str">
        <x:v>L03</x:v>
      </x:c>
      <x:c r="D19" s="20" t="str">
        <x:v>旧版财务</x:v>
      </x:c>
      <x:c r="E19" s="20" t="str">
        <x:v>v1.0</x:v>
      </x:c>
      <x:c r="F19" s="20" t="str">
        <x:v>万美元</x:v>
      </x:c>
      <x:c r="G19" s="21" t="n">
        <x:v>180</x:v>
      </x:c>
      <x:c r="H19" s="20" t="str">
        <x:v>旧版所有数值标注经营假设；签约180、收入120、固定费用102、现金支出160、周转授权90；缺月度模型和项目成本支撑。</x:v>
      </x:c>
      <x:c r="I19" s="20" t="str">
        <x:v>本地：output/证据与执行底稿/经营模型.json</x:v>
      </x:c>
    </x:row>
    <x:row r="20" ht="65" customHeight="1">
      <x:c r="A20" s="1"/>
      <x:c r="B20" s="1"/>
      <x:c r="C20" s="20" t="str">
        <x:v>H01</x:v>
      </x:c>
      <x:c r="D20" s="20" t="str">
        <x:v>项目工时、赢单率、价格、预算池、续费率</x:v>
      </x:c>
      <x:c r="E20" s="20" t="str">
        <x:v>规划期</x:v>
      </x:c>
      <x:c r="F20" s="20" t="str">
        <x:v>假设</x:v>
      </x:c>
      <x:c r="G20" s="20"/>
      <x:c r="H20" s="20" t="str">
        <x:v>全部为可修改经营假设，不是行业实测。用成本底线、客户价值、销售容量与市场区间交叉约束。</x:v>
      </x:c>
      <x:c r="I20" s="20" t="str">
        <x:v>本次模型假设，见假设与单价工作表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31" hidden="0" customWidth="1"/>
    <x:col min="4" max="4" width="15" hidden="0" customWidth="1"/>
    <x:col min="5" max="5" width="75" hidden="0" customWidth="1"/>
  </x:cols>
  <x:sheetData>
    <x:row r="1" ht="23" customHeight="1">
      <x:c r="A1" s="1"/>
      <x:c r="B1" s="1"/>
      <x:c r="C1" s="1"/>
      <x:c r="D1" s="1"/>
      <x:c r="E1" s="1"/>
    </x:row>
    <x:row r="2" ht="23" customHeight="1">
      <x:c r="A2" s="1"/>
      <x:c r="B2" s="1"/>
      <x:c r="C2" s="3" t="str">
        <x:v>布比中东 核验（金额：万美元）</x:v>
      </x:c>
      <x:c r="D2" s="3"/>
      <x:c r="E2" s="3"/>
    </x:row>
    <x:row r="3" ht="23" customHeight="1">
      <x:c r="A3" s="1"/>
      <x:c r="B3" s="1"/>
      <x:c r="C3" s="1" t="str">
        <x:v>情景</x:v>
      </x:c>
      <x:c r="D3" s="8" t="str">
        <x:f>CHOOSE('假设'!D4,"谨慎进入","资源到位目标","突破目标")</x:f>
        <x:v>资源到位目标</x:v>
      </x:c>
      <x:c r="E3" s="1"/>
    </x:row>
    <x:row r="4" ht="23" customHeight="1">
      <x:c r="A4" s="1"/>
      <x:c r="B4" s="1"/>
      <x:c r="C4" s="1"/>
      <x:c r="D4" s="1"/>
      <x:c r="E4" s="1"/>
    </x:row>
    <x:row r="5" ht="32" customHeight="1">
      <x:c r="A5" s="1"/>
      <x:c r="B5" s="1"/>
      <x:c r="C5" s="6" t="str">
        <x:v>核验项目</x:v>
      </x:c>
      <x:c r="D5" s="6" t="str">
        <x:v>差额/结果</x:v>
      </x:c>
      <x:c r="E5" s="6" t="str">
        <x:v>解释</x:v>
      </x:c>
    </x:row>
    <x:row r="6" ht="23" customHeight="1">
      <x:c r="A6" s="1"/>
      <x:c r="B6" s="1"/>
      <x:c r="C6" s="1" t="str">
        <x:v>利润到现金桥</x:v>
      </x:c>
      <x:c r="D6" s="22" t="n">
        <x:f>'月度经营'!P27</x:f>
        <x:v>-4.263256414560601e-14</x:v>
      </x:c>
      <x:c r="E6" s="1" t="str">
        <x:v>应为0；应收、合同净负债、履约成本、佣金应付桥接</x:v>
      </x:c>
    </x:row>
    <x:row r="7" ht="23" customHeight="1">
      <x:c r="A7" s="1"/>
      <x:c r="B7" s="1"/>
      <x:c r="C7" s="1" t="str">
        <x:v>总回款不超过开票</x:v>
      </x:c>
      <x:c r="D7" s="22" t="n">
        <x:f>SUM('月度经营'!E9:AB9)-SUM('月度经营'!E8:AB8)</x:f>
        <x:v>0</x:v>
      </x:c>
      <x:c r="E7" s="1" t="str">
        <x:v>应&lt;=0；末期未收属于后续期</x:v>
      </x:c>
    </x:row>
    <x:row r="8" ht="23" customHeight="1">
      <x:c r="A8" s="1"/>
      <x:c r="B8" s="1"/>
      <x:c r="C8" s="1" t="str">
        <x:v>全部收入与合同差</x:v>
      </x:c>
      <x:c r="D8" s="22" t="n">
        <x:f>SUM('月度经营'!E7:AB7)-SUM('月度经营'!E6:AB6)</x:f>
        <x:v>0</x:v>
      </x:c>
      <x:c r="E8" s="1" t="str">
        <x:v>≤0，24月以后的支持收入尚未确认</x:v>
      </x:c>
    </x:row>
    <x:row r="9" ht="23" customHeight="1">
      <x:c r="A9" s="1"/>
      <x:c r="B9" s="1"/>
      <x:c r="C9" s="1" t="str">
        <x:v>合同计划与总览</x:v>
      </x:c>
      <x:c r="D9" s="22" t="n">
        <x:f>SUMIFS('合同排期'!K6:K25,'合同排期'!H6:H25,"&lt;=12")+SUMIFS('合同排期'!L6:L25,'合同排期'!H6:H25,"&lt;=12")-'经营总览'!D6</x:f>
        <x:v>0</x:v>
      </x:c>
      <x:c r="E9" s="1" t="str">
        <x:v>应为0</x:v>
      </x:c>
    </x:row>
    <x:row r="10" ht="23" customHeight="1">
      <x:c r="A10" s="1"/>
      <x:c r="B10" s="1"/>
      <x:c r="C10" s="1" t="str">
        <x:v>启用数量超模板</x:v>
      </x:c>
      <x:c r="D10" s="22" t="n">
        <x:f>MAX(0,'假设'!D7-12)+MAX(0,'假设'!D12-6)+MAX(0,'假设'!D17-2)</x:f>
        <x:v>0</x:v>
      </x:c>
      <x:c r="E10" s="1" t="str">
        <x:v>应为0；非0必须扩展合同模板，不能静默截断</x:v>
      </x:c>
    </x:row>
    <x:row r="11" ht="23" customHeight="1">
      <x:c r="A11" s="1"/>
      <x:c r="B11" s="1"/>
      <x:c r="C11" s="1" t="str">
        <x:v>首年已签ARR与四年表差</x:v>
      </x:c>
      <x:c r="D11" s="22" t="n">
        <x:f>SUMIFS('合同排期'!L6:L25,'合同排期'!H6:H25,"&lt;=12")-'四年发展'!D26</x:f>
        <x:v>0</x:v>
      </x:c>
      <x:c r="E11" s="1" t="str">
        <x:v>应为0；已签支持与生效支持不同</x:v>
      </x:c>
    </x:row>
    <x:row r="12" ht="23" customHeight="1">
      <x:c r="A12" s="1"/>
      <x:c r="B12" s="1"/>
      <x:c r="C12" s="1" t="str">
        <x:v>逐月利润现金桥最大绝对差</x:v>
      </x:c>
      <x:c r="D12" s="22" t="n">
        <x:f>MAX(MAX('月度经营'!E27:AB27),-MIN('月度经营'!E27:AB27))</x:f>
        <x:v>5.684341886080802e-14</x:v>
      </x:c>
      <x:c r="E12" s="1" t="str">
        <x:v>应接近0；检查全部24个月</x:v>
      </x:c>
    </x:row>
    <x:row r="13" ht="23" customHeight="1">
      <x:c r="A13" s="1"/>
      <x:c r="B13" s="1"/>
      <x:c r="C13" s="1" t="str">
        <x:v>漏斗输入完整性</x:v>
      </x:c>
      <x:c r="D13" s="22" t="n">
        <x:f>COUNT('销售漏斗'!D6:D10)+COUNT('销售漏斗'!D12:D13)+COUNT('销售漏斗'!D17:D21)-12</x:f>
        <x:v>0</x:v>
      </x:c>
      <x:c r="E13" s="1" t="str">
        <x:v>应为0；PRODUCT会跳过空值，不能把缺数据当完整预测</x:v>
      </x:c>
    </x:row>
    <x:row r="14" ht="23" customHeight="1">
      <x:c r="A14" s="1"/>
      <x:c r="B14" s="1"/>
      <x:c r="C14" s="1" t="str">
        <x:v>付款比例偏差</x:v>
      </x:c>
      <x:c r="D14" s="22" t="n">
        <x:f>MAX(MAX('合同排期'!T6:T25),-MIN('合同排期'!T6:T25))</x:f>
        <x:v>0</x:v>
      </x:c>
      <x:c r="E14" s="1" t="str">
        <x:v>应为0；预付款+中期款+尾款=100%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30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</x:row>
    <x:row r="2" ht="23" customHeight="1">
      <x:c r="A2" s="1"/>
      <x:c r="B2" s="1"/>
      <x:c r="C2" s="3" t="str">
        <x:v>布比中东 续费队列（金额：万美元）</x:v>
      </x:c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</x:row>
    <x:row r="3" ht="23" customHeight="1">
      <x:c r="A3" s="1"/>
      <x:c r="B3" s="1"/>
      <x:c r="C3" s="1" t="str">
        <x:v>情景</x:v>
      </x:c>
      <x:c r="D3" s="8" t="str">
        <x:f>CHOOSE('假设'!D4,"谨慎进入","资源到位目标","突破目标")</x:f>
        <x:v>资源到位目标</x:v>
      </x:c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</x:row>
    <x:row r="5" ht="32" customHeight="1">
      <x:c r="A5" s="1"/>
      <x:c r="B5" s="1"/>
      <x:c r="C5" s="6" t="str">
        <x:v>队列/服务期</x:v>
      </x:c>
      <x:c r="D5" s="6" t="str">
        <x:v>首签月</x:v>
      </x:c>
      <x:c r="E5" s="6" t="str">
        <x:v>期数0起</x:v>
      </x:c>
      <x:c r="F5" s="6" t="str">
        <x:v>服务开始</x:v>
      </x:c>
      <x:c r="G5" s="6" t="str">
        <x:v>服务结束</x:v>
      </x:c>
      <x:c r="H5" s="6" t="str">
        <x:v>年度支持收入</x:v>
      </x:c>
      <x:c r="I5" s="6" t="str">
        <x:v>年度支持成本</x:v>
      </x:c>
      <x:c r="J5" s="6" t="str">
        <x:v>Y1收入</x:v>
      </x:c>
      <x:c r="K5" s="6" t="str">
        <x:v>Y2收入</x:v>
      </x:c>
      <x:c r="L5" s="6" t="str">
        <x:v>Y3收入</x:v>
      </x:c>
      <x:c r="M5" s="6" t="str">
        <x:v>Y4收入</x:v>
      </x:c>
      <x:c r="N5" s="6" t="str">
        <x:v>Y1续签</x:v>
      </x:c>
      <x:c r="O5" s="6" t="str">
        <x:v>Y2续签</x:v>
      </x:c>
      <x:c r="P5" s="6" t="str">
        <x:v>Y3续签</x:v>
      </x:c>
      <x:c r="Q5" s="6" t="str">
        <x:v>Y4续签</x:v>
      </x:c>
      <x:c r="R5" s="6" t="str">
        <x:v>Y1合同ARR</x:v>
      </x:c>
      <x:c r="S5" s="6" t="str">
        <x:v>Y2合同ARR</x:v>
      </x:c>
      <x:c r="T5" s="6" t="str">
        <x:v>Y3合同ARR</x:v>
      </x:c>
      <x:c r="U5" s="6" t="str">
        <x:v>Y4合同ARR</x:v>
      </x:c>
      <x:c r="V5" s="6" t="str">
        <x:v>Y1成本</x:v>
      </x:c>
      <x:c r="W5" s="6" t="str">
        <x:v>Y2成本</x:v>
      </x:c>
      <x:c r="X5" s="6" t="str">
        <x:v>Y3成本</x:v>
      </x:c>
      <x:c r="Y5" s="6" t="str">
        <x:v>Y4成本</x:v>
      </x:c>
    </x:row>
    <x:row r="6" ht="23" customHeight="1">
      <x:c r="A6" s="1"/>
      <x:c r="B6" s="1"/>
      <x:c r="C6" s="1" t="str">
        <x:v>Y1-E01 第1服务年</x:v>
      </x:c>
      <x:c r="D6" s="8" t="n">
        <x:f>'合同排期'!H18</x:f>
        <x:v>6</x:v>
      </x:c>
      <x:c r="E6" s="10" t="n">
        <x:v>0</x:v>
      </x:c>
      <x:c r="F6" s="8" t="n">
        <x:f>'合同排期'!J18+12*E6</x:f>
        <x:v>10</x:v>
      </x:c>
      <x:c r="G6" s="2" t="n">
        <x:f>F6+11</x:f>
        <x:v>21</x:v>
      </x:c>
      <x:c r="H6" s="8" t="n">
        <x:f>'合同排期'!L18*'假设'!D82^E6</x:f>
        <x:v>12</x:v>
      </x:c>
      <x:c r="I6" s="8" t="n">
        <x:f>'合同排期'!O18*12*'假设'!D82^E6</x:f>
        <x:v>3.5999999999999996</x:v>
      </x:c>
      <x:c r="J6" s="2" t="n">
        <x:f>MAX(0,MIN(G6,12)-MAX(F6,1)+1)/12*H6</x:f>
        <x:v>3</x:v>
      </x:c>
      <x:c r="K6" s="2" t="n">
        <x:f>MAX(0,MIN(G6,24)-MAX(F6,13)+1)/12*H6</x:f>
        <x:v>9</x:v>
      </x:c>
      <x:c r="L6" s="2" t="n">
        <x:f>MAX(0,MIN(G6,36)-MAX(F6,25)+1)/12*H6</x:f>
        <x:v>0</x:v>
      </x:c>
      <x:c r="M6" s="2" t="n">
        <x:f>MAX(0,MIN(G6,48)-MAX(F6,37)+1)/12*H6</x:f>
        <x:v>0</x:v>
      </x:c>
      <x:c r="N6" s="2" t="n">
        <x:f>IF(AND(E6&gt;0,F6&gt;=1,F6&lt;=12),H6,0)</x:f>
        <x:v>0</x:v>
      </x:c>
      <x:c r="O6" s="2" t="n">
        <x:f>IF(AND(E6&gt;0,F6&gt;=13,F6&lt;=24),H6,0)</x:f>
        <x:v>0</x:v>
      </x:c>
      <x:c r="P6" s="2" t="n">
        <x:f>IF(AND(E6&gt;0,F6&gt;=25,F6&lt;=36),H6,0)</x:f>
        <x:v>0</x:v>
      </x:c>
      <x:c r="Q6" s="2" t="n">
        <x:f>IF(AND(E6&gt;0,F6&gt;=37,F6&lt;=48),H6,0)</x:f>
        <x:v>0</x:v>
      </x:c>
      <x:c r="R6" s="2" t="n">
        <x:f>IF(AND(D6&lt;=12,IF(E6=0,D6,F6)&lt;=12,G6&gt;=12),H6,0)</x:f>
        <x:v>12</x:v>
      </x:c>
      <x:c r="S6" s="2" t="n">
        <x:f>IF(AND(D6&lt;=24,IF(E6=0,D6,F6)&lt;=24,G6&gt;=24),H6,0)</x:f>
        <x:v>0</x:v>
      </x:c>
      <x:c r="T6" s="2" t="n">
        <x:f>IF(AND(D6&lt;=36,IF(E6=0,D6,F6)&lt;=36,G6&gt;=36),H6,0)</x:f>
        <x:v>0</x:v>
      </x:c>
      <x:c r="U6" s="2" t="n">
        <x:f>IF(AND(D6&lt;=48,IF(E6=0,D6,F6)&lt;=48,G6&gt;=48),H6,0)</x:f>
        <x:v>0</x:v>
      </x:c>
      <x:c r="V6" s="2" t="n">
        <x:f>MAX(0,MIN(G6,12)-MAX(F6,1)+1)/12*I6</x:f>
        <x:v>0.8999999999999999</x:v>
      </x:c>
      <x:c r="W6" s="2" t="n">
        <x:f>MAX(0,MIN(G6,24)-MAX(F6,13)+1)/12*I6</x:f>
        <x:v>2.6999999999999997</x:v>
      </x:c>
      <x:c r="X6" s="2" t="n">
        <x:f>MAX(0,MIN(G6,36)-MAX(F6,25)+1)/12*I6</x:f>
        <x:v>0</x:v>
      </x:c>
      <x:c r="Y6" s="2" t="n">
        <x:f>MAX(0,MIN(G6,48)-MAX(F6,37)+1)/12*I6</x:f>
        <x:v>0</x:v>
      </x:c>
    </x:row>
    <x:row r="7" ht="23" customHeight="1">
      <x:c r="A7" s="1"/>
      <x:c r="B7" s="1"/>
      <x:c r="C7" s="1" t="str">
        <x:v>Y1-E01 第2服务年</x:v>
      </x:c>
      <x:c r="D7" s="8" t="n">
        <x:f>'合同排期'!H18</x:f>
        <x:v>6</x:v>
      </x:c>
      <x:c r="E7" s="10" t="n">
        <x:v>1</x:v>
      </x:c>
      <x:c r="F7" s="8" t="n">
        <x:f>'合同排期'!J18+12*E7</x:f>
        <x:v>22</x:v>
      </x:c>
      <x:c r="G7" s="2" t="n">
        <x:f>F7+11</x:f>
        <x:v>33</x:v>
      </x:c>
      <x:c r="H7" s="8" t="n">
        <x:f>'合同排期'!L18*'假设'!D82^E7</x:f>
        <x:v>10.8</x:v>
      </x:c>
      <x:c r="I7" s="8" t="n">
        <x:f>'合同排期'!O18*12*'假设'!D82^E7</x:f>
        <x:v>3.2399999999999998</x:v>
      </x:c>
      <x:c r="J7" s="2" t="n">
        <x:f>MAX(0,MIN(G7,12)-MAX(F7,1)+1)/12*H7</x:f>
        <x:v>0</x:v>
      </x:c>
      <x:c r="K7" s="2" t="n">
        <x:f>MAX(0,MIN(G7,24)-MAX(F7,13)+1)/12*H7</x:f>
        <x:v>2.7</x:v>
      </x:c>
      <x:c r="L7" s="2" t="n">
        <x:f>MAX(0,MIN(G7,36)-MAX(F7,25)+1)/12*H7</x:f>
        <x:v>8.100000000000001</x:v>
      </x:c>
      <x:c r="M7" s="2" t="n">
        <x:f>MAX(0,MIN(G7,48)-MAX(F7,37)+1)/12*H7</x:f>
        <x:v>0</x:v>
      </x:c>
      <x:c r="N7" s="2" t="n">
        <x:f>IF(AND(E7&gt;0,F7&gt;=1,F7&lt;=12),H7,0)</x:f>
        <x:v>0</x:v>
      </x:c>
      <x:c r="O7" s="2" t="n">
        <x:f>IF(AND(E7&gt;0,F7&gt;=13,F7&lt;=24),H7,0)</x:f>
        <x:v>10.8</x:v>
      </x:c>
      <x:c r="P7" s="2" t="n">
        <x:f>IF(AND(E7&gt;0,F7&gt;=25,F7&lt;=36),H7,0)</x:f>
        <x:v>0</x:v>
      </x:c>
      <x:c r="Q7" s="2" t="n">
        <x:f>IF(AND(E7&gt;0,F7&gt;=37,F7&lt;=48),H7,0)</x:f>
        <x:v>0</x:v>
      </x:c>
      <x:c r="R7" s="2" t="n">
        <x:f>IF(AND(D7&lt;=12,IF(E7=0,D7,F7)&lt;=12,G7&gt;=12),H7,0)</x:f>
        <x:v>0</x:v>
      </x:c>
      <x:c r="S7" s="2" t="n">
        <x:f>IF(AND(D7&lt;=24,IF(E7=0,D7,F7)&lt;=24,G7&gt;=24),H7,0)</x:f>
        <x:v>10.8</x:v>
      </x:c>
      <x:c r="T7" s="2" t="n">
        <x:f>IF(AND(D7&lt;=36,IF(E7=0,D7,F7)&lt;=36,G7&gt;=36),H7,0)</x:f>
        <x:v>0</x:v>
      </x:c>
      <x:c r="U7" s="2" t="n">
        <x:f>IF(AND(D7&lt;=48,IF(E7=0,D7,F7)&lt;=48,G7&gt;=48),H7,0)</x:f>
        <x:v>0</x:v>
      </x:c>
      <x:c r="V7" s="2" t="n">
        <x:f>MAX(0,MIN(G7,12)-MAX(F7,1)+1)/12*I7</x:f>
        <x:v>0</x:v>
      </x:c>
      <x:c r="W7" s="2" t="n">
        <x:f>MAX(0,MIN(G7,24)-MAX(F7,13)+1)/12*I7</x:f>
        <x:v>0.8099999999999999</x:v>
      </x:c>
      <x:c r="X7" s="2" t="n">
        <x:f>MAX(0,MIN(G7,36)-MAX(F7,25)+1)/12*I7</x:f>
        <x:v>2.4299999999999997</x:v>
      </x:c>
      <x:c r="Y7" s="2" t="n">
        <x:f>MAX(0,MIN(G7,48)-MAX(F7,37)+1)/12*I7</x:f>
        <x:v>0</x:v>
      </x:c>
    </x:row>
    <x:row r="8" ht="23" customHeight="1">
      <x:c r="A8" s="1"/>
      <x:c r="B8" s="1"/>
      <x:c r="C8" s="1" t="str">
        <x:v>Y1-E01 第3服务年</x:v>
      </x:c>
      <x:c r="D8" s="8" t="n">
        <x:f>'合同排期'!H18</x:f>
        <x:v>6</x:v>
      </x:c>
      <x:c r="E8" s="10" t="n">
        <x:v>2</x:v>
      </x:c>
      <x:c r="F8" s="8" t="n">
        <x:f>'合同排期'!J18+12*E8</x:f>
        <x:v>34</x:v>
      </x:c>
      <x:c r="G8" s="2" t="n">
        <x:f>F8+11</x:f>
        <x:v>45</x:v>
      </x:c>
      <x:c r="H8" s="8" t="n">
        <x:f>'合同排期'!L18*'假设'!D82^E8</x:f>
        <x:v>9.72</x:v>
      </x:c>
      <x:c r="I8" s="8" t="n">
        <x:f>'合同排期'!O18*12*'假设'!D82^E8</x:f>
        <x:v>2.916</x:v>
      </x:c>
      <x:c r="J8" s="2" t="n">
        <x:f>MAX(0,MIN(G8,12)-MAX(F8,1)+1)/12*H8</x:f>
        <x:v>0</x:v>
      </x:c>
      <x:c r="K8" s="2" t="n">
        <x:f>MAX(0,MIN(G8,24)-MAX(F8,13)+1)/12*H8</x:f>
        <x:v>0</x:v>
      </x:c>
      <x:c r="L8" s="2" t="n">
        <x:f>MAX(0,MIN(G8,36)-MAX(F8,25)+1)/12*H8</x:f>
        <x:v>2.43</x:v>
      </x:c>
      <x:c r="M8" s="2" t="n">
        <x:f>MAX(0,MIN(G8,48)-MAX(F8,37)+1)/12*H8</x:f>
        <x:v>7.290000000000001</x:v>
      </x:c>
      <x:c r="N8" s="2" t="n">
        <x:f>IF(AND(E8&gt;0,F8&gt;=1,F8&lt;=12),H8,0)</x:f>
        <x:v>0</x:v>
      </x:c>
      <x:c r="O8" s="2" t="n">
        <x:f>IF(AND(E8&gt;0,F8&gt;=13,F8&lt;=24),H8,0)</x:f>
        <x:v>0</x:v>
      </x:c>
      <x:c r="P8" s="2" t="n">
        <x:f>IF(AND(E8&gt;0,F8&gt;=25,F8&lt;=36),H8,0)</x:f>
        <x:v>9.72</x:v>
      </x:c>
      <x:c r="Q8" s="2" t="n">
        <x:f>IF(AND(E8&gt;0,F8&gt;=37,F8&lt;=48),H8,0)</x:f>
        <x:v>0</x:v>
      </x:c>
      <x:c r="R8" s="2" t="n">
        <x:f>IF(AND(D8&lt;=12,IF(E8=0,D8,F8)&lt;=12,G8&gt;=12),H8,0)</x:f>
        <x:v>0</x:v>
      </x:c>
      <x:c r="S8" s="2" t="n">
        <x:f>IF(AND(D8&lt;=24,IF(E8=0,D8,F8)&lt;=24,G8&gt;=24),H8,0)</x:f>
        <x:v>0</x:v>
      </x:c>
      <x:c r="T8" s="2" t="n">
        <x:f>IF(AND(D8&lt;=36,IF(E8=0,D8,F8)&lt;=36,G8&gt;=36),H8,0)</x:f>
        <x:v>9.72</x:v>
      </x:c>
      <x:c r="U8" s="2" t="n">
        <x:f>IF(AND(D8&lt;=48,IF(E8=0,D8,F8)&lt;=48,G8&gt;=48),H8,0)</x:f>
        <x:v>0</x:v>
      </x:c>
      <x:c r="V8" s="2" t="n">
        <x:f>MAX(0,MIN(G8,12)-MAX(F8,1)+1)/12*I8</x:f>
        <x:v>0</x:v>
      </x:c>
      <x:c r="W8" s="2" t="n">
        <x:f>MAX(0,MIN(G8,24)-MAX(F8,13)+1)/12*I8</x:f>
        <x:v>0</x:v>
      </x:c>
      <x:c r="X8" s="2" t="n">
        <x:f>MAX(0,MIN(G8,36)-MAX(F8,25)+1)/12*I8</x:f>
        <x:v>0.729</x:v>
      </x:c>
      <x:c r="Y8" s="2" t="n">
        <x:f>MAX(0,MIN(G8,48)-MAX(F8,37)+1)/12*I8</x:f>
        <x:v>2.187</x:v>
      </x:c>
    </x:row>
    <x:row r="9" ht="23" customHeight="1">
      <x:c r="A9" s="1"/>
      <x:c r="B9" s="1"/>
      <x:c r="C9" s="1" t="str">
        <x:v>Y1-E01 第4服务年</x:v>
      </x:c>
      <x:c r="D9" s="8" t="n">
        <x:f>'合同排期'!H18</x:f>
        <x:v>6</x:v>
      </x:c>
      <x:c r="E9" s="10" t="n">
        <x:v>3</x:v>
      </x:c>
      <x:c r="F9" s="8" t="n">
        <x:f>'合同排期'!J18+12*E9</x:f>
        <x:v>46</x:v>
      </x:c>
      <x:c r="G9" s="2" t="n">
        <x:f>F9+11</x:f>
        <x:v>57</x:v>
      </x:c>
      <x:c r="H9" s="8" t="n">
        <x:f>'合同排期'!L18*'假设'!D82^E9</x:f>
        <x:v>8.748000000000001</x:v>
      </x:c>
      <x:c r="I9" s="8" t="n">
        <x:f>'合同排期'!O18*12*'假设'!D82^E9</x:f>
        <x:v>2.6244</x:v>
      </x:c>
      <x:c r="J9" s="2" t="n">
        <x:f>MAX(0,MIN(G9,12)-MAX(F9,1)+1)/12*H9</x:f>
        <x:v>0</x:v>
      </x:c>
      <x:c r="K9" s="2" t="n">
        <x:f>MAX(0,MIN(G9,24)-MAX(F9,13)+1)/12*H9</x:f>
        <x:v>0</x:v>
      </x:c>
      <x:c r="L9" s="2" t="n">
        <x:f>MAX(0,MIN(G9,36)-MAX(F9,25)+1)/12*H9</x:f>
        <x:v>0</x:v>
      </x:c>
      <x:c r="M9" s="2" t="n">
        <x:f>MAX(0,MIN(G9,48)-MAX(F9,37)+1)/12*H9</x:f>
        <x:v>2.1870000000000003</x:v>
      </x:c>
      <x:c r="N9" s="2" t="n">
        <x:f>IF(AND(E9&gt;0,F9&gt;=1,F9&lt;=12),H9,0)</x:f>
        <x:v>0</x:v>
      </x:c>
      <x:c r="O9" s="2" t="n">
        <x:f>IF(AND(E9&gt;0,F9&gt;=13,F9&lt;=24),H9,0)</x:f>
        <x:v>0</x:v>
      </x:c>
      <x:c r="P9" s="2" t="n">
        <x:f>IF(AND(E9&gt;0,F9&gt;=25,F9&lt;=36),H9,0)</x:f>
        <x:v>0</x:v>
      </x:c>
      <x:c r="Q9" s="2" t="n">
        <x:f>IF(AND(E9&gt;0,F9&gt;=37,F9&lt;=48),H9,0)</x:f>
        <x:v>8.748000000000001</x:v>
      </x:c>
      <x:c r="R9" s="2" t="n">
        <x:f>IF(AND(D9&lt;=12,IF(E9=0,D9,F9)&lt;=12,G9&gt;=12),H9,0)</x:f>
        <x:v>0</x:v>
      </x:c>
      <x:c r="S9" s="2" t="n">
        <x:f>IF(AND(D9&lt;=24,IF(E9=0,D9,F9)&lt;=24,G9&gt;=24),H9,0)</x:f>
        <x:v>0</x:v>
      </x:c>
      <x:c r="T9" s="2" t="n">
        <x:f>IF(AND(D9&lt;=36,IF(E9=0,D9,F9)&lt;=36,G9&gt;=36),H9,0)</x:f>
        <x:v>0</x:v>
      </x:c>
      <x:c r="U9" s="2" t="n">
        <x:f>IF(AND(D9&lt;=48,IF(E9=0,D9,F9)&lt;=48,G9&gt;=48),H9,0)</x:f>
        <x:v>8.748000000000001</x:v>
      </x:c>
      <x:c r="V9" s="2" t="n">
        <x:f>MAX(0,MIN(G9,12)-MAX(F9,1)+1)/12*I9</x:f>
        <x:v>0</x:v>
      </x:c>
      <x:c r="W9" s="2" t="n">
        <x:f>MAX(0,MIN(G9,24)-MAX(F9,13)+1)/12*I9</x:f>
        <x:v>0</x:v>
      </x:c>
      <x:c r="X9" s="2" t="n">
        <x:f>MAX(0,MIN(G9,36)-MAX(F9,25)+1)/12*I9</x:f>
        <x:v>0</x:v>
      </x:c>
      <x:c r="Y9" s="2" t="n">
        <x:f>MAX(0,MIN(G9,48)-MAX(F9,37)+1)/12*I9</x:f>
        <x:v>0.6561</x:v>
      </x:c>
    </x:row>
    <x:row r="10" ht="23" customHeight="1">
      <x:c r="A10" s="1"/>
      <x:c r="B10" s="1"/>
      <x:c r="C10" s="1" t="str">
        <x:v>Y1-E02 第1服务年</x:v>
      </x:c>
      <x:c r="D10" s="8" t="n">
        <x:f>'合同排期'!H19</x:f>
        <x:v>7</x:v>
      </x:c>
      <x:c r="E10" s="10" t="n">
        <x:v>0</x:v>
      </x:c>
      <x:c r="F10" s="8" t="n">
        <x:f>'合同排期'!J19+12*E10</x:f>
        <x:v>11</x:v>
      </x:c>
      <x:c r="G10" s="2" t="n">
        <x:f>F10+11</x:f>
        <x:v>22</x:v>
      </x:c>
      <x:c r="H10" s="8" t="n">
        <x:f>'合同排期'!L19*'假设'!D82^E10</x:f>
        <x:v>12</x:v>
      </x:c>
      <x:c r="I10" s="8" t="n">
        <x:f>'合同排期'!O19*12*'假设'!D82^E10</x:f>
        <x:v>3.5999999999999996</x:v>
      </x:c>
      <x:c r="J10" s="2" t="n">
        <x:f>MAX(0,MIN(G10,12)-MAX(F10,1)+1)/12*H10</x:f>
        <x:v>2</x:v>
      </x:c>
      <x:c r="K10" s="2" t="n">
        <x:f>MAX(0,MIN(G10,24)-MAX(F10,13)+1)/12*H10</x:f>
        <x:v>10</x:v>
      </x:c>
      <x:c r="L10" s="2" t="n">
        <x:f>MAX(0,MIN(G10,36)-MAX(F10,25)+1)/12*H10</x:f>
        <x:v>0</x:v>
      </x:c>
      <x:c r="M10" s="2" t="n">
        <x:f>MAX(0,MIN(G10,48)-MAX(F10,37)+1)/12*H10</x:f>
        <x:v>0</x:v>
      </x:c>
      <x:c r="N10" s="2" t="n">
        <x:f>IF(AND(E10&gt;0,F10&gt;=1,F10&lt;=12),H10,0)</x:f>
        <x:v>0</x:v>
      </x:c>
      <x:c r="O10" s="2" t="n">
        <x:f>IF(AND(E10&gt;0,F10&gt;=13,F10&lt;=24),H10,0)</x:f>
        <x:v>0</x:v>
      </x:c>
      <x:c r="P10" s="2" t="n">
        <x:f>IF(AND(E10&gt;0,F10&gt;=25,F10&lt;=36),H10,0)</x:f>
        <x:v>0</x:v>
      </x:c>
      <x:c r="Q10" s="2" t="n">
        <x:f>IF(AND(E10&gt;0,F10&gt;=37,F10&lt;=48),H10,0)</x:f>
        <x:v>0</x:v>
      </x:c>
      <x:c r="R10" s="2" t="n">
        <x:f>IF(AND(D10&lt;=12,IF(E10=0,D10,F10)&lt;=12,G10&gt;=12),H10,0)</x:f>
        <x:v>12</x:v>
      </x:c>
      <x:c r="S10" s="2" t="n">
        <x:f>IF(AND(D10&lt;=24,IF(E10=0,D10,F10)&lt;=24,G10&gt;=24),H10,0)</x:f>
        <x:v>0</x:v>
      </x:c>
      <x:c r="T10" s="2" t="n">
        <x:f>IF(AND(D10&lt;=36,IF(E10=0,D10,F10)&lt;=36,G10&gt;=36),H10,0)</x:f>
        <x:v>0</x:v>
      </x:c>
      <x:c r="U10" s="2" t="n">
        <x:f>IF(AND(D10&lt;=48,IF(E10=0,D10,F10)&lt;=48,G10&gt;=48),H10,0)</x:f>
        <x:v>0</x:v>
      </x:c>
      <x:c r="V10" s="2" t="n">
        <x:f>MAX(0,MIN(G10,12)-MAX(F10,1)+1)/12*I10</x:f>
        <x:v>0.5999999999999999</x:v>
      </x:c>
      <x:c r="W10" s="2" t="n">
        <x:f>MAX(0,MIN(G10,24)-MAX(F10,13)+1)/12*I10</x:f>
        <x:v>3</x:v>
      </x:c>
      <x:c r="X10" s="2" t="n">
        <x:f>MAX(0,MIN(G10,36)-MAX(F10,25)+1)/12*I10</x:f>
        <x:v>0</x:v>
      </x:c>
      <x:c r="Y10" s="2" t="n">
        <x:f>MAX(0,MIN(G10,48)-MAX(F10,37)+1)/12*I10</x:f>
        <x:v>0</x:v>
      </x:c>
    </x:row>
    <x:row r="11" ht="23" customHeight="1">
      <x:c r="A11" s="1"/>
      <x:c r="B11" s="1"/>
      <x:c r="C11" s="1" t="str">
        <x:v>Y1-E02 第2服务年</x:v>
      </x:c>
      <x:c r="D11" s="8" t="n">
        <x:f>'合同排期'!H19</x:f>
        <x:v>7</x:v>
      </x:c>
      <x:c r="E11" s="10" t="n">
        <x:v>1</x:v>
      </x:c>
      <x:c r="F11" s="8" t="n">
        <x:f>'合同排期'!J19+12*E11</x:f>
        <x:v>23</x:v>
      </x:c>
      <x:c r="G11" s="2" t="n">
        <x:f>F11+11</x:f>
        <x:v>34</x:v>
      </x:c>
      <x:c r="H11" s="8" t="n">
        <x:f>'合同排期'!L19*'假设'!D82^E11</x:f>
        <x:v>10.8</x:v>
      </x:c>
      <x:c r="I11" s="8" t="n">
        <x:f>'合同排期'!O19*12*'假设'!D82^E11</x:f>
        <x:v>3.2399999999999998</x:v>
      </x:c>
      <x:c r="J11" s="2" t="n">
        <x:f>MAX(0,MIN(G11,12)-MAX(F11,1)+1)/12*H11</x:f>
        <x:v>0</x:v>
      </x:c>
      <x:c r="K11" s="2" t="n">
        <x:f>MAX(0,MIN(G11,24)-MAX(F11,13)+1)/12*H11</x:f>
        <x:v>1.8</x:v>
      </x:c>
      <x:c r="L11" s="2" t="n">
        <x:f>MAX(0,MIN(G11,36)-MAX(F11,25)+1)/12*H11</x:f>
        <x:v>9.000000000000002</x:v>
      </x:c>
      <x:c r="M11" s="2" t="n">
        <x:f>MAX(0,MIN(G11,48)-MAX(F11,37)+1)/12*H11</x:f>
        <x:v>0</x:v>
      </x:c>
      <x:c r="N11" s="2" t="n">
        <x:f>IF(AND(E11&gt;0,F11&gt;=1,F11&lt;=12),H11,0)</x:f>
        <x:v>0</x:v>
      </x:c>
      <x:c r="O11" s="2" t="n">
        <x:f>IF(AND(E11&gt;0,F11&gt;=13,F11&lt;=24),H11,0)</x:f>
        <x:v>10.8</x:v>
      </x:c>
      <x:c r="P11" s="2" t="n">
        <x:f>IF(AND(E11&gt;0,F11&gt;=25,F11&lt;=36),H11,0)</x:f>
        <x:v>0</x:v>
      </x:c>
      <x:c r="Q11" s="2" t="n">
        <x:f>IF(AND(E11&gt;0,F11&gt;=37,F11&lt;=48),H11,0)</x:f>
        <x:v>0</x:v>
      </x:c>
      <x:c r="R11" s="2" t="n">
        <x:f>IF(AND(D11&lt;=12,IF(E11=0,D11,F11)&lt;=12,G11&gt;=12),H11,0)</x:f>
        <x:v>0</x:v>
      </x:c>
      <x:c r="S11" s="2" t="n">
        <x:f>IF(AND(D11&lt;=24,IF(E11=0,D11,F11)&lt;=24,G11&gt;=24),H11,0)</x:f>
        <x:v>10.8</x:v>
      </x:c>
      <x:c r="T11" s="2" t="n">
        <x:f>IF(AND(D11&lt;=36,IF(E11=0,D11,F11)&lt;=36,G11&gt;=36),H11,0)</x:f>
        <x:v>0</x:v>
      </x:c>
      <x:c r="U11" s="2" t="n">
        <x:f>IF(AND(D11&lt;=48,IF(E11=0,D11,F11)&lt;=48,G11&gt;=48),H11,0)</x:f>
        <x:v>0</x:v>
      </x:c>
      <x:c r="V11" s="2" t="n">
        <x:f>MAX(0,MIN(G11,12)-MAX(F11,1)+1)/12*I11</x:f>
        <x:v>0</x:v>
      </x:c>
      <x:c r="W11" s="2" t="n">
        <x:f>MAX(0,MIN(G11,24)-MAX(F11,13)+1)/12*I11</x:f>
        <x:v>0.5399999999999999</x:v>
      </x:c>
      <x:c r="X11" s="2" t="n">
        <x:f>MAX(0,MIN(G11,36)-MAX(F11,25)+1)/12*I11</x:f>
        <x:v>2.6999999999999997</x:v>
      </x:c>
      <x:c r="Y11" s="2" t="n">
        <x:f>MAX(0,MIN(G11,48)-MAX(F11,37)+1)/12*I11</x:f>
        <x:v>0</x:v>
      </x:c>
    </x:row>
    <x:row r="12" ht="23" customHeight="1">
      <x:c r="A12" s="1"/>
      <x:c r="B12" s="1"/>
      <x:c r="C12" s="1" t="str">
        <x:v>Y1-E02 第3服务年</x:v>
      </x:c>
      <x:c r="D12" s="8" t="n">
        <x:f>'合同排期'!H19</x:f>
        <x:v>7</x:v>
      </x:c>
      <x:c r="E12" s="10" t="n">
        <x:v>2</x:v>
      </x:c>
      <x:c r="F12" s="8" t="n">
        <x:f>'合同排期'!J19+12*E12</x:f>
        <x:v>35</x:v>
      </x:c>
      <x:c r="G12" s="2" t="n">
        <x:f>F12+11</x:f>
        <x:v>46</x:v>
      </x:c>
      <x:c r="H12" s="8" t="n">
        <x:f>'合同排期'!L19*'假设'!D82^E12</x:f>
        <x:v>9.72</x:v>
      </x:c>
      <x:c r="I12" s="8" t="n">
        <x:f>'合同排期'!O19*12*'假设'!D82^E12</x:f>
        <x:v>2.916</x:v>
      </x:c>
      <x:c r="J12" s="2" t="n">
        <x:f>MAX(0,MIN(G12,12)-MAX(F12,1)+1)/12*H12</x:f>
        <x:v>0</x:v>
      </x:c>
      <x:c r="K12" s="2" t="n">
        <x:f>MAX(0,MIN(G12,24)-MAX(F12,13)+1)/12*H12</x:f>
        <x:v>0</x:v>
      </x:c>
      <x:c r="L12" s="2" t="n">
        <x:f>MAX(0,MIN(G12,36)-MAX(F12,25)+1)/12*H12</x:f>
        <x:v>1.62</x:v>
      </x:c>
      <x:c r="M12" s="2" t="n">
        <x:f>MAX(0,MIN(G12,48)-MAX(F12,37)+1)/12*H12</x:f>
        <x:v>8.100000000000001</x:v>
      </x:c>
      <x:c r="N12" s="2" t="n">
        <x:f>IF(AND(E12&gt;0,F12&gt;=1,F12&lt;=12),H12,0)</x:f>
        <x:v>0</x:v>
      </x:c>
      <x:c r="O12" s="2" t="n">
        <x:f>IF(AND(E12&gt;0,F12&gt;=13,F12&lt;=24),H12,0)</x:f>
        <x:v>0</x:v>
      </x:c>
      <x:c r="P12" s="2" t="n">
        <x:f>IF(AND(E12&gt;0,F12&gt;=25,F12&lt;=36),H12,0)</x:f>
        <x:v>9.72</x:v>
      </x:c>
      <x:c r="Q12" s="2" t="n">
        <x:f>IF(AND(E12&gt;0,F12&gt;=37,F12&lt;=48),H12,0)</x:f>
        <x:v>0</x:v>
      </x:c>
      <x:c r="R12" s="2" t="n">
        <x:f>IF(AND(D12&lt;=12,IF(E12=0,D12,F12)&lt;=12,G12&gt;=12),H12,0)</x:f>
        <x:v>0</x:v>
      </x:c>
      <x:c r="S12" s="2" t="n">
        <x:f>IF(AND(D12&lt;=24,IF(E12=0,D12,F12)&lt;=24,G12&gt;=24),H12,0)</x:f>
        <x:v>0</x:v>
      </x:c>
      <x:c r="T12" s="2" t="n">
        <x:f>IF(AND(D12&lt;=36,IF(E12=0,D12,F12)&lt;=36,G12&gt;=36),H12,0)</x:f>
        <x:v>9.72</x:v>
      </x:c>
      <x:c r="U12" s="2" t="n">
        <x:f>IF(AND(D12&lt;=48,IF(E12=0,D12,F12)&lt;=48,G12&gt;=48),H12,0)</x:f>
        <x:v>0</x:v>
      </x:c>
      <x:c r="V12" s="2" t="n">
        <x:f>MAX(0,MIN(G12,12)-MAX(F12,1)+1)/12*I12</x:f>
        <x:v>0</x:v>
      </x:c>
      <x:c r="W12" s="2" t="n">
        <x:f>MAX(0,MIN(G12,24)-MAX(F12,13)+1)/12*I12</x:f>
        <x:v>0</x:v>
      </x:c>
      <x:c r="X12" s="2" t="n">
        <x:f>MAX(0,MIN(G12,36)-MAX(F12,25)+1)/12*I12</x:f>
        <x:v>0.486</x:v>
      </x:c>
      <x:c r="Y12" s="2" t="n">
        <x:f>MAX(0,MIN(G12,48)-MAX(F12,37)+1)/12*I12</x:f>
        <x:v>2.43</x:v>
      </x:c>
    </x:row>
    <x:row r="13" ht="23" customHeight="1">
      <x:c r="A13" s="1"/>
      <x:c r="B13" s="1"/>
      <x:c r="C13" s="1" t="str">
        <x:v>Y1-E02 第4服务年</x:v>
      </x:c>
      <x:c r="D13" s="8" t="n">
        <x:f>'合同排期'!H19</x:f>
        <x:v>7</x:v>
      </x:c>
      <x:c r="E13" s="10" t="n">
        <x:v>3</x:v>
      </x:c>
      <x:c r="F13" s="8" t="n">
        <x:f>'合同排期'!J19+12*E13</x:f>
        <x:v>47</x:v>
      </x:c>
      <x:c r="G13" s="2" t="n">
        <x:f>F13+11</x:f>
        <x:v>58</x:v>
      </x:c>
      <x:c r="H13" s="8" t="n">
        <x:f>'合同排期'!L19*'假设'!D82^E13</x:f>
        <x:v>8.748000000000001</x:v>
      </x:c>
      <x:c r="I13" s="8" t="n">
        <x:f>'合同排期'!O19*12*'假设'!D82^E13</x:f>
        <x:v>2.6244</x:v>
      </x:c>
      <x:c r="J13" s="2" t="n">
        <x:f>MAX(0,MIN(G13,12)-MAX(F13,1)+1)/12*H13</x:f>
        <x:v>0</x:v>
      </x:c>
      <x:c r="K13" s="2" t="n">
        <x:f>MAX(0,MIN(G13,24)-MAX(F13,13)+1)/12*H13</x:f>
        <x:v>0</x:v>
      </x:c>
      <x:c r="L13" s="2" t="n">
        <x:f>MAX(0,MIN(G13,36)-MAX(F13,25)+1)/12*H13</x:f>
        <x:v>0</x:v>
      </x:c>
      <x:c r="M13" s="2" t="n">
        <x:f>MAX(0,MIN(G13,48)-MAX(F13,37)+1)/12*H13</x:f>
        <x:v>1.4580000000000002</x:v>
      </x:c>
      <x:c r="N13" s="2" t="n">
        <x:f>IF(AND(E13&gt;0,F13&gt;=1,F13&lt;=12),H13,0)</x:f>
        <x:v>0</x:v>
      </x:c>
      <x:c r="O13" s="2" t="n">
        <x:f>IF(AND(E13&gt;0,F13&gt;=13,F13&lt;=24),H13,0)</x:f>
        <x:v>0</x:v>
      </x:c>
      <x:c r="P13" s="2" t="n">
        <x:f>IF(AND(E13&gt;0,F13&gt;=25,F13&lt;=36),H13,0)</x:f>
        <x:v>0</x:v>
      </x:c>
      <x:c r="Q13" s="2" t="n">
        <x:f>IF(AND(E13&gt;0,F13&gt;=37,F13&lt;=48),H13,0)</x:f>
        <x:v>8.748000000000001</x:v>
      </x:c>
      <x:c r="R13" s="2" t="n">
        <x:f>IF(AND(D13&lt;=12,IF(E13=0,D13,F13)&lt;=12,G13&gt;=12),H13,0)</x:f>
        <x:v>0</x:v>
      </x:c>
      <x:c r="S13" s="2" t="n">
        <x:f>IF(AND(D13&lt;=24,IF(E13=0,D13,F13)&lt;=24,G13&gt;=24),H13,0)</x:f>
        <x:v>0</x:v>
      </x:c>
      <x:c r="T13" s="2" t="n">
        <x:f>IF(AND(D13&lt;=36,IF(E13=0,D13,F13)&lt;=36,G13&gt;=36),H13,0)</x:f>
        <x:v>0</x:v>
      </x:c>
      <x:c r="U13" s="2" t="n">
        <x:f>IF(AND(D13&lt;=48,IF(E13=0,D13,F13)&lt;=48,G13&gt;=48),H13,0)</x:f>
        <x:v>8.748000000000001</x:v>
      </x:c>
      <x:c r="V13" s="2" t="n">
        <x:f>MAX(0,MIN(G13,12)-MAX(F13,1)+1)/12*I13</x:f>
        <x:v>0</x:v>
      </x:c>
      <x:c r="W13" s="2" t="n">
        <x:f>MAX(0,MIN(G13,24)-MAX(F13,13)+1)/12*I13</x:f>
        <x:v>0</x:v>
      </x:c>
      <x:c r="X13" s="2" t="n">
        <x:f>MAX(0,MIN(G13,36)-MAX(F13,25)+1)/12*I13</x:f>
        <x:v>0</x:v>
      </x:c>
      <x:c r="Y13" s="2" t="n">
        <x:f>MAX(0,MIN(G13,48)-MAX(F13,37)+1)/12*I13</x:f>
        <x:v>0.4374</x:v>
      </x:c>
    </x:row>
    <x:row r="14" ht="23" customHeight="1">
      <x:c r="A14" s="1"/>
      <x:c r="B14" s="1"/>
      <x:c r="C14" s="1" t="str">
        <x:v>Y1-E03 第1服务年</x:v>
      </x:c>
      <x:c r="D14" s="8" t="n">
        <x:f>'合同排期'!H20</x:f>
        <x:v>8</x:v>
      </x:c>
      <x:c r="E14" s="10" t="n">
        <x:v>0</x:v>
      </x:c>
      <x:c r="F14" s="8" t="n">
        <x:f>'合同排期'!J20+12*E14</x:f>
        <x:v>12</x:v>
      </x:c>
      <x:c r="G14" s="2" t="n">
        <x:f>F14+11</x:f>
        <x:v>23</x:v>
      </x:c>
      <x:c r="H14" s="8" t="n">
        <x:f>'合同排期'!L20*'假设'!D82^E14</x:f>
        <x:v>12</x:v>
      </x:c>
      <x:c r="I14" s="8" t="n">
        <x:f>'合同排期'!O20*12*'假设'!D82^E14</x:f>
        <x:v>3.5999999999999996</x:v>
      </x:c>
      <x:c r="J14" s="2" t="n">
        <x:f>MAX(0,MIN(G14,12)-MAX(F14,1)+1)/12*H14</x:f>
        <x:v>1</x:v>
      </x:c>
      <x:c r="K14" s="2" t="n">
        <x:f>MAX(0,MIN(G14,24)-MAX(F14,13)+1)/12*H14</x:f>
        <x:v>11</x:v>
      </x:c>
      <x:c r="L14" s="2" t="n">
        <x:f>MAX(0,MIN(G14,36)-MAX(F14,25)+1)/12*H14</x:f>
        <x:v>0</x:v>
      </x:c>
      <x:c r="M14" s="2" t="n">
        <x:f>MAX(0,MIN(G14,48)-MAX(F14,37)+1)/12*H14</x:f>
        <x:v>0</x:v>
      </x:c>
      <x:c r="N14" s="2" t="n">
        <x:f>IF(AND(E14&gt;0,F14&gt;=1,F14&lt;=12),H14,0)</x:f>
        <x:v>0</x:v>
      </x:c>
      <x:c r="O14" s="2" t="n">
        <x:f>IF(AND(E14&gt;0,F14&gt;=13,F14&lt;=24),H14,0)</x:f>
        <x:v>0</x:v>
      </x:c>
      <x:c r="P14" s="2" t="n">
        <x:f>IF(AND(E14&gt;0,F14&gt;=25,F14&lt;=36),H14,0)</x:f>
        <x:v>0</x:v>
      </x:c>
      <x:c r="Q14" s="2" t="n">
        <x:f>IF(AND(E14&gt;0,F14&gt;=37,F14&lt;=48),H14,0)</x:f>
        <x:v>0</x:v>
      </x:c>
      <x:c r="R14" s="2" t="n">
        <x:f>IF(AND(D14&lt;=12,IF(E14=0,D14,F14)&lt;=12,G14&gt;=12),H14,0)</x:f>
        <x:v>12</x:v>
      </x:c>
      <x:c r="S14" s="2" t="n">
        <x:f>IF(AND(D14&lt;=24,IF(E14=0,D14,F14)&lt;=24,G14&gt;=24),H14,0)</x:f>
        <x:v>0</x:v>
      </x:c>
      <x:c r="T14" s="2" t="n">
        <x:f>IF(AND(D14&lt;=36,IF(E14=0,D14,F14)&lt;=36,G14&gt;=36),H14,0)</x:f>
        <x:v>0</x:v>
      </x:c>
      <x:c r="U14" s="2" t="n">
        <x:f>IF(AND(D14&lt;=48,IF(E14=0,D14,F14)&lt;=48,G14&gt;=48),H14,0)</x:f>
        <x:v>0</x:v>
      </x:c>
      <x:c r="V14" s="2" t="n">
        <x:f>MAX(0,MIN(G14,12)-MAX(F14,1)+1)/12*I14</x:f>
        <x:v>0.29999999999999993</x:v>
      </x:c>
      <x:c r="W14" s="2" t="n">
        <x:f>MAX(0,MIN(G14,24)-MAX(F14,13)+1)/12*I14</x:f>
        <x:v>3.2999999999999994</x:v>
      </x:c>
      <x:c r="X14" s="2" t="n">
        <x:f>MAX(0,MIN(G14,36)-MAX(F14,25)+1)/12*I14</x:f>
        <x:v>0</x:v>
      </x:c>
      <x:c r="Y14" s="2" t="n">
        <x:f>MAX(0,MIN(G14,48)-MAX(F14,37)+1)/12*I14</x:f>
        <x:v>0</x:v>
      </x:c>
    </x:row>
    <x:row r="15" ht="23" customHeight="1">
      <x:c r="A15" s="1"/>
      <x:c r="B15" s="1"/>
      <x:c r="C15" s="1" t="str">
        <x:v>Y1-E03 第2服务年</x:v>
      </x:c>
      <x:c r="D15" s="8" t="n">
        <x:f>'合同排期'!H20</x:f>
        <x:v>8</x:v>
      </x:c>
      <x:c r="E15" s="10" t="n">
        <x:v>1</x:v>
      </x:c>
      <x:c r="F15" s="8" t="n">
        <x:f>'合同排期'!J20+12*E15</x:f>
        <x:v>24</x:v>
      </x:c>
      <x:c r="G15" s="2" t="n">
        <x:f>F15+11</x:f>
        <x:v>35</x:v>
      </x:c>
      <x:c r="H15" s="8" t="n">
        <x:f>'合同排期'!L20*'假设'!D82^E15</x:f>
        <x:v>10.8</x:v>
      </x:c>
      <x:c r="I15" s="8" t="n">
        <x:f>'合同排期'!O20*12*'假设'!D82^E15</x:f>
        <x:v>3.2399999999999998</x:v>
      </x:c>
      <x:c r="J15" s="2" t="n">
        <x:f>MAX(0,MIN(G15,12)-MAX(F15,1)+1)/12*H15</x:f>
        <x:v>0</x:v>
      </x:c>
      <x:c r="K15" s="2" t="n">
        <x:f>MAX(0,MIN(G15,24)-MAX(F15,13)+1)/12*H15</x:f>
        <x:v>0.9</x:v>
      </x:c>
      <x:c r="L15" s="2" t="n">
        <x:f>MAX(0,MIN(G15,36)-MAX(F15,25)+1)/12*H15</x:f>
        <x:v>9.9</x:v>
      </x:c>
      <x:c r="M15" s="2" t="n">
        <x:f>MAX(0,MIN(G15,48)-MAX(F15,37)+1)/12*H15</x:f>
        <x:v>0</x:v>
      </x:c>
      <x:c r="N15" s="2" t="n">
        <x:f>IF(AND(E15&gt;0,F15&gt;=1,F15&lt;=12),H15,0)</x:f>
        <x:v>0</x:v>
      </x:c>
      <x:c r="O15" s="2" t="n">
        <x:f>IF(AND(E15&gt;0,F15&gt;=13,F15&lt;=24),H15,0)</x:f>
        <x:v>10.8</x:v>
      </x:c>
      <x:c r="P15" s="2" t="n">
        <x:f>IF(AND(E15&gt;0,F15&gt;=25,F15&lt;=36),H15,0)</x:f>
        <x:v>0</x:v>
      </x:c>
      <x:c r="Q15" s="2" t="n">
        <x:f>IF(AND(E15&gt;0,F15&gt;=37,F15&lt;=48),H15,0)</x:f>
        <x:v>0</x:v>
      </x:c>
      <x:c r="R15" s="2" t="n">
        <x:f>IF(AND(D15&lt;=12,IF(E15=0,D15,F15)&lt;=12,G15&gt;=12),H15,0)</x:f>
        <x:v>0</x:v>
      </x:c>
      <x:c r="S15" s="2" t="n">
        <x:f>IF(AND(D15&lt;=24,IF(E15=0,D15,F15)&lt;=24,G15&gt;=24),H15,0)</x:f>
        <x:v>10.8</x:v>
      </x:c>
      <x:c r="T15" s="2" t="n">
        <x:f>IF(AND(D15&lt;=36,IF(E15=0,D15,F15)&lt;=36,G15&gt;=36),H15,0)</x:f>
        <x:v>0</x:v>
      </x:c>
      <x:c r="U15" s="2" t="n">
        <x:f>IF(AND(D15&lt;=48,IF(E15=0,D15,F15)&lt;=48,G15&gt;=48),H15,0)</x:f>
        <x:v>0</x:v>
      </x:c>
      <x:c r="V15" s="2" t="n">
        <x:f>MAX(0,MIN(G15,12)-MAX(F15,1)+1)/12*I15</x:f>
        <x:v>0</x:v>
      </x:c>
      <x:c r="W15" s="2" t="n">
        <x:f>MAX(0,MIN(G15,24)-MAX(F15,13)+1)/12*I15</x:f>
        <x:v>0.26999999999999996</x:v>
      </x:c>
      <x:c r="X15" s="2" t="n">
        <x:f>MAX(0,MIN(G15,36)-MAX(F15,25)+1)/12*I15</x:f>
        <x:v>2.9699999999999998</x:v>
      </x:c>
      <x:c r="Y15" s="2" t="n">
        <x:f>MAX(0,MIN(G15,48)-MAX(F15,37)+1)/12*I15</x:f>
        <x:v>0</x:v>
      </x:c>
    </x:row>
    <x:row r="16" ht="23" customHeight="1">
      <x:c r="A16" s="1"/>
      <x:c r="B16" s="1"/>
      <x:c r="C16" s="1" t="str">
        <x:v>Y1-E03 第3服务年</x:v>
      </x:c>
      <x:c r="D16" s="8" t="n">
        <x:f>'合同排期'!H20</x:f>
        <x:v>8</x:v>
      </x:c>
      <x:c r="E16" s="10" t="n">
        <x:v>2</x:v>
      </x:c>
      <x:c r="F16" s="8" t="n">
        <x:f>'合同排期'!J20+12*E16</x:f>
        <x:v>36</x:v>
      </x:c>
      <x:c r="G16" s="2" t="n">
        <x:f>F16+11</x:f>
        <x:v>47</x:v>
      </x:c>
      <x:c r="H16" s="8" t="n">
        <x:f>'合同排期'!L20*'假设'!D82^E16</x:f>
        <x:v>9.72</x:v>
      </x:c>
      <x:c r="I16" s="8" t="n">
        <x:f>'合同排期'!O20*12*'假设'!D82^E16</x:f>
        <x:v>2.916</x:v>
      </x:c>
      <x:c r="J16" s="2" t="n">
        <x:f>MAX(0,MIN(G16,12)-MAX(F16,1)+1)/12*H16</x:f>
        <x:v>0</x:v>
      </x:c>
      <x:c r="K16" s="2" t="n">
        <x:f>MAX(0,MIN(G16,24)-MAX(F16,13)+1)/12*H16</x:f>
        <x:v>0</x:v>
      </x:c>
      <x:c r="L16" s="2" t="n">
        <x:f>MAX(0,MIN(G16,36)-MAX(F16,25)+1)/12*H16</x:f>
        <x:v>0.81</x:v>
      </x:c>
      <x:c r="M16" s="2" t="n">
        <x:f>MAX(0,MIN(G16,48)-MAX(F16,37)+1)/12*H16</x:f>
        <x:v>8.91</x:v>
      </x:c>
      <x:c r="N16" s="2" t="n">
        <x:f>IF(AND(E16&gt;0,F16&gt;=1,F16&lt;=12),H16,0)</x:f>
        <x:v>0</x:v>
      </x:c>
      <x:c r="O16" s="2" t="n">
        <x:f>IF(AND(E16&gt;0,F16&gt;=13,F16&lt;=24),H16,0)</x:f>
        <x:v>0</x:v>
      </x:c>
      <x:c r="P16" s="2" t="n">
        <x:f>IF(AND(E16&gt;0,F16&gt;=25,F16&lt;=36),H16,0)</x:f>
        <x:v>9.72</x:v>
      </x:c>
      <x:c r="Q16" s="2" t="n">
        <x:f>IF(AND(E16&gt;0,F16&gt;=37,F16&lt;=48),H16,0)</x:f>
        <x:v>0</x:v>
      </x:c>
      <x:c r="R16" s="2" t="n">
        <x:f>IF(AND(D16&lt;=12,IF(E16=0,D16,F16)&lt;=12,G16&gt;=12),H16,0)</x:f>
        <x:v>0</x:v>
      </x:c>
      <x:c r="S16" s="2" t="n">
        <x:f>IF(AND(D16&lt;=24,IF(E16=0,D16,F16)&lt;=24,G16&gt;=24),H16,0)</x:f>
        <x:v>0</x:v>
      </x:c>
      <x:c r="T16" s="2" t="n">
        <x:f>IF(AND(D16&lt;=36,IF(E16=0,D16,F16)&lt;=36,G16&gt;=36),H16,0)</x:f>
        <x:v>9.72</x:v>
      </x:c>
      <x:c r="U16" s="2" t="n">
        <x:f>IF(AND(D16&lt;=48,IF(E16=0,D16,F16)&lt;=48,G16&gt;=48),H16,0)</x:f>
        <x:v>0</x:v>
      </x:c>
      <x:c r="V16" s="2" t="n">
        <x:f>MAX(0,MIN(G16,12)-MAX(F16,1)+1)/12*I16</x:f>
        <x:v>0</x:v>
      </x:c>
      <x:c r="W16" s="2" t="n">
        <x:f>MAX(0,MIN(G16,24)-MAX(F16,13)+1)/12*I16</x:f>
        <x:v>0</x:v>
      </x:c>
      <x:c r="X16" s="2" t="n">
        <x:f>MAX(0,MIN(G16,36)-MAX(F16,25)+1)/12*I16</x:f>
        <x:v>0.243</x:v>
      </x:c>
      <x:c r="Y16" s="2" t="n">
        <x:f>MAX(0,MIN(G16,48)-MAX(F16,37)+1)/12*I16</x:f>
        <x:v>2.673</x:v>
      </x:c>
    </x:row>
    <x:row r="17" ht="23" customHeight="1">
      <x:c r="A17" s="1"/>
      <x:c r="B17" s="1"/>
      <x:c r="C17" s="1" t="str">
        <x:v>Y1-E03 第4服务年</x:v>
      </x:c>
      <x:c r="D17" s="8" t="n">
        <x:f>'合同排期'!H20</x:f>
        <x:v>8</x:v>
      </x:c>
      <x:c r="E17" s="10" t="n">
        <x:v>3</x:v>
      </x:c>
      <x:c r="F17" s="8" t="n">
        <x:f>'合同排期'!J20+12*E17</x:f>
        <x:v>48</x:v>
      </x:c>
      <x:c r="G17" s="2" t="n">
        <x:f>F17+11</x:f>
        <x:v>59</x:v>
      </x:c>
      <x:c r="H17" s="8" t="n">
        <x:f>'合同排期'!L20*'假设'!D82^E17</x:f>
        <x:v>8.748000000000001</x:v>
      </x:c>
      <x:c r="I17" s="8" t="n">
        <x:f>'合同排期'!O20*12*'假设'!D82^E17</x:f>
        <x:v>2.6244</x:v>
      </x:c>
      <x:c r="J17" s="2" t="n">
        <x:f>MAX(0,MIN(G17,12)-MAX(F17,1)+1)/12*H17</x:f>
        <x:v>0</x:v>
      </x:c>
      <x:c r="K17" s="2" t="n">
        <x:f>MAX(0,MIN(G17,24)-MAX(F17,13)+1)/12*H17</x:f>
        <x:v>0</x:v>
      </x:c>
      <x:c r="L17" s="2" t="n">
        <x:f>MAX(0,MIN(G17,36)-MAX(F17,25)+1)/12*H17</x:f>
        <x:v>0</x:v>
      </x:c>
      <x:c r="M17" s="2" t="n">
        <x:f>MAX(0,MIN(G17,48)-MAX(F17,37)+1)/12*H17</x:f>
        <x:v>0.7290000000000001</x:v>
      </x:c>
      <x:c r="N17" s="2" t="n">
        <x:f>IF(AND(E17&gt;0,F17&gt;=1,F17&lt;=12),H17,0)</x:f>
        <x:v>0</x:v>
      </x:c>
      <x:c r="O17" s="2" t="n">
        <x:f>IF(AND(E17&gt;0,F17&gt;=13,F17&lt;=24),H17,0)</x:f>
        <x:v>0</x:v>
      </x:c>
      <x:c r="P17" s="2" t="n">
        <x:f>IF(AND(E17&gt;0,F17&gt;=25,F17&lt;=36),H17,0)</x:f>
        <x:v>0</x:v>
      </x:c>
      <x:c r="Q17" s="2" t="n">
        <x:f>IF(AND(E17&gt;0,F17&gt;=37,F17&lt;=48),H17,0)</x:f>
        <x:v>8.748000000000001</x:v>
      </x:c>
      <x:c r="R17" s="2" t="n">
        <x:f>IF(AND(D17&lt;=12,IF(E17=0,D17,F17)&lt;=12,G17&gt;=12),H17,0)</x:f>
        <x:v>0</x:v>
      </x:c>
      <x:c r="S17" s="2" t="n">
        <x:f>IF(AND(D17&lt;=24,IF(E17=0,D17,F17)&lt;=24,G17&gt;=24),H17,0)</x:f>
        <x:v>0</x:v>
      </x:c>
      <x:c r="T17" s="2" t="n">
        <x:f>IF(AND(D17&lt;=36,IF(E17=0,D17,F17)&lt;=36,G17&gt;=36),H17,0)</x:f>
        <x:v>0</x:v>
      </x:c>
      <x:c r="U17" s="2" t="n">
        <x:f>IF(AND(D17&lt;=48,IF(E17=0,D17,F17)&lt;=48,G17&gt;=48),H17,0)</x:f>
        <x:v>8.748000000000001</x:v>
      </x:c>
      <x:c r="V17" s="2" t="n">
        <x:f>MAX(0,MIN(G17,12)-MAX(F17,1)+1)/12*I17</x:f>
        <x:v>0</x:v>
      </x:c>
      <x:c r="W17" s="2" t="n">
        <x:f>MAX(0,MIN(G17,24)-MAX(F17,13)+1)/12*I17</x:f>
        <x:v>0</x:v>
      </x:c>
      <x:c r="X17" s="2" t="n">
        <x:f>MAX(0,MIN(G17,36)-MAX(F17,25)+1)/12*I17</x:f>
        <x:v>0</x:v>
      </x:c>
      <x:c r="Y17" s="2" t="n">
        <x:f>MAX(0,MIN(G17,48)-MAX(F17,37)+1)/12*I17</x:f>
        <x:v>0.2187</x:v>
      </x:c>
    </x:row>
    <x:row r="18" ht="23" customHeight="1">
      <x:c r="A18" s="1"/>
      <x:c r="B18" s="1"/>
      <x:c r="C18" s="1" t="str">
        <x:v>Y1-E04 第1服务年</x:v>
      </x:c>
      <x:c r="D18" s="8" t="n">
        <x:f>'合同排期'!H21</x:f>
        <x:v>9</x:v>
      </x:c>
      <x:c r="E18" s="10" t="n">
        <x:v>0</x:v>
      </x:c>
      <x:c r="F18" s="8" t="n">
        <x:f>'合同排期'!J21+12*E18</x:f>
        <x:v>13</x:v>
      </x:c>
      <x:c r="G18" s="2" t="n">
        <x:f>F18+11</x:f>
        <x:v>24</x:v>
      </x:c>
      <x:c r="H18" s="8" t="n">
        <x:f>'合同排期'!L21*'假设'!D82^E18</x:f>
        <x:v>12</x:v>
      </x:c>
      <x:c r="I18" s="8" t="n">
        <x:f>'合同排期'!O21*12*'假设'!D82^E18</x:f>
        <x:v>3.5999999999999996</x:v>
      </x:c>
      <x:c r="J18" s="2" t="n">
        <x:f>MAX(0,MIN(G18,12)-MAX(F18,1)+1)/12*H18</x:f>
        <x:v>0</x:v>
      </x:c>
      <x:c r="K18" s="2" t="n">
        <x:f>MAX(0,MIN(G18,24)-MAX(F18,13)+1)/12*H18</x:f>
        <x:v>12</x:v>
      </x:c>
      <x:c r="L18" s="2" t="n">
        <x:f>MAX(0,MIN(G18,36)-MAX(F18,25)+1)/12*H18</x:f>
        <x:v>0</x:v>
      </x:c>
      <x:c r="M18" s="2" t="n">
        <x:f>MAX(0,MIN(G18,48)-MAX(F18,37)+1)/12*H18</x:f>
        <x:v>0</x:v>
      </x:c>
      <x:c r="N18" s="2" t="n">
        <x:f>IF(AND(E18&gt;0,F18&gt;=1,F18&lt;=12),H18,0)</x:f>
        <x:v>0</x:v>
      </x:c>
      <x:c r="O18" s="2" t="n">
        <x:f>IF(AND(E18&gt;0,F18&gt;=13,F18&lt;=24),H18,0)</x:f>
        <x:v>0</x:v>
      </x:c>
      <x:c r="P18" s="2" t="n">
        <x:f>IF(AND(E18&gt;0,F18&gt;=25,F18&lt;=36),H18,0)</x:f>
        <x:v>0</x:v>
      </x:c>
      <x:c r="Q18" s="2" t="n">
        <x:f>IF(AND(E18&gt;0,F18&gt;=37,F18&lt;=48),H18,0)</x:f>
        <x:v>0</x:v>
      </x:c>
      <x:c r="R18" s="2" t="n">
        <x:f>IF(AND(D18&lt;=12,IF(E18=0,D18,F18)&lt;=12,G18&gt;=12),H18,0)</x:f>
        <x:v>12</x:v>
      </x:c>
      <x:c r="S18" s="2" t="n">
        <x:f>IF(AND(D18&lt;=24,IF(E18=0,D18,F18)&lt;=24,G18&gt;=24),H18,0)</x:f>
        <x:v>12</x:v>
      </x:c>
      <x:c r="T18" s="2" t="n">
        <x:f>IF(AND(D18&lt;=36,IF(E18=0,D18,F18)&lt;=36,G18&gt;=36),H18,0)</x:f>
        <x:v>0</x:v>
      </x:c>
      <x:c r="U18" s="2" t="n">
        <x:f>IF(AND(D18&lt;=48,IF(E18=0,D18,F18)&lt;=48,G18&gt;=48),H18,0)</x:f>
        <x:v>0</x:v>
      </x:c>
      <x:c r="V18" s="2" t="n">
        <x:f>MAX(0,MIN(G18,12)-MAX(F18,1)+1)/12*I18</x:f>
        <x:v>0</x:v>
      </x:c>
      <x:c r="W18" s="2" t="n">
        <x:f>MAX(0,MIN(G18,24)-MAX(F18,13)+1)/12*I18</x:f>
        <x:v>3.5999999999999996</x:v>
      </x:c>
      <x:c r="X18" s="2" t="n">
        <x:f>MAX(0,MIN(G18,36)-MAX(F18,25)+1)/12*I18</x:f>
        <x:v>0</x:v>
      </x:c>
      <x:c r="Y18" s="2" t="n">
        <x:f>MAX(0,MIN(G18,48)-MAX(F18,37)+1)/12*I18</x:f>
        <x:v>0</x:v>
      </x:c>
    </x:row>
    <x:row r="19" ht="23" customHeight="1">
      <x:c r="A19" s="1"/>
      <x:c r="B19" s="1"/>
      <x:c r="C19" s="1" t="str">
        <x:v>Y1-E04 第2服务年</x:v>
      </x:c>
      <x:c r="D19" s="8" t="n">
        <x:f>'合同排期'!H21</x:f>
        <x:v>9</x:v>
      </x:c>
      <x:c r="E19" s="10" t="n">
        <x:v>1</x:v>
      </x:c>
      <x:c r="F19" s="8" t="n">
        <x:f>'合同排期'!J21+12*E19</x:f>
        <x:v>25</x:v>
      </x:c>
      <x:c r="G19" s="2" t="n">
        <x:f>F19+11</x:f>
        <x:v>36</x:v>
      </x:c>
      <x:c r="H19" s="8" t="n">
        <x:f>'合同排期'!L21*'假设'!D82^E19</x:f>
        <x:v>10.8</x:v>
      </x:c>
      <x:c r="I19" s="8" t="n">
        <x:f>'合同排期'!O21*12*'假设'!D82^E19</x:f>
        <x:v>3.2399999999999998</x:v>
      </x:c>
      <x:c r="J19" s="2" t="n">
        <x:f>MAX(0,MIN(G19,12)-MAX(F19,1)+1)/12*H19</x:f>
        <x:v>0</x:v>
      </x:c>
      <x:c r="K19" s="2" t="n">
        <x:f>MAX(0,MIN(G19,24)-MAX(F19,13)+1)/12*H19</x:f>
        <x:v>0</x:v>
      </x:c>
      <x:c r="L19" s="2" t="n">
        <x:f>MAX(0,MIN(G19,36)-MAX(F19,25)+1)/12*H19</x:f>
        <x:v>10.8</x:v>
      </x:c>
      <x:c r="M19" s="2" t="n">
        <x:f>MAX(0,MIN(G19,48)-MAX(F19,37)+1)/12*H19</x:f>
        <x:v>0</x:v>
      </x:c>
      <x:c r="N19" s="2" t="n">
        <x:f>IF(AND(E19&gt;0,F19&gt;=1,F19&lt;=12),H19,0)</x:f>
        <x:v>0</x:v>
      </x:c>
      <x:c r="O19" s="2" t="n">
        <x:f>IF(AND(E19&gt;0,F19&gt;=13,F19&lt;=24),H19,0)</x:f>
        <x:v>0</x:v>
      </x:c>
      <x:c r="P19" s="2" t="n">
        <x:f>IF(AND(E19&gt;0,F19&gt;=25,F19&lt;=36),H19,0)</x:f>
        <x:v>10.8</x:v>
      </x:c>
      <x:c r="Q19" s="2" t="n">
        <x:f>IF(AND(E19&gt;0,F19&gt;=37,F19&lt;=48),H19,0)</x:f>
        <x:v>0</x:v>
      </x:c>
      <x:c r="R19" s="2" t="n">
        <x:f>IF(AND(D19&lt;=12,IF(E19=0,D19,F19)&lt;=12,G19&gt;=12),H19,0)</x:f>
        <x:v>0</x:v>
      </x:c>
      <x:c r="S19" s="2" t="n">
        <x:f>IF(AND(D19&lt;=24,IF(E19=0,D19,F19)&lt;=24,G19&gt;=24),H19,0)</x:f>
        <x:v>0</x:v>
      </x:c>
      <x:c r="T19" s="2" t="n">
        <x:f>IF(AND(D19&lt;=36,IF(E19=0,D19,F19)&lt;=36,G19&gt;=36),H19,0)</x:f>
        <x:v>10.8</x:v>
      </x:c>
      <x:c r="U19" s="2" t="n">
        <x:f>IF(AND(D19&lt;=48,IF(E19=0,D19,F19)&lt;=48,G19&gt;=48),H19,0)</x:f>
        <x:v>0</x:v>
      </x:c>
      <x:c r="V19" s="2" t="n">
        <x:f>MAX(0,MIN(G19,12)-MAX(F19,1)+1)/12*I19</x:f>
        <x:v>0</x:v>
      </x:c>
      <x:c r="W19" s="2" t="n">
        <x:f>MAX(0,MIN(G19,24)-MAX(F19,13)+1)/12*I19</x:f>
        <x:v>0</x:v>
      </x:c>
      <x:c r="X19" s="2" t="n">
        <x:f>MAX(0,MIN(G19,36)-MAX(F19,25)+1)/12*I19</x:f>
        <x:v>3.2399999999999998</x:v>
      </x:c>
      <x:c r="Y19" s="2" t="n">
        <x:f>MAX(0,MIN(G19,48)-MAX(F19,37)+1)/12*I19</x:f>
        <x:v>0</x:v>
      </x:c>
    </x:row>
    <x:row r="20" ht="23" customHeight="1">
      <x:c r="A20" s="1"/>
      <x:c r="B20" s="1"/>
      <x:c r="C20" s="1" t="str">
        <x:v>Y1-E04 第3服务年</x:v>
      </x:c>
      <x:c r="D20" s="8" t="n">
        <x:f>'合同排期'!H21</x:f>
        <x:v>9</x:v>
      </x:c>
      <x:c r="E20" s="10" t="n">
        <x:v>2</x:v>
      </x:c>
      <x:c r="F20" s="8" t="n">
        <x:f>'合同排期'!J21+12*E20</x:f>
        <x:v>37</x:v>
      </x:c>
      <x:c r="G20" s="2" t="n">
        <x:f>F20+11</x:f>
        <x:v>48</x:v>
      </x:c>
      <x:c r="H20" s="8" t="n">
        <x:f>'合同排期'!L21*'假设'!D82^E20</x:f>
        <x:v>9.72</x:v>
      </x:c>
      <x:c r="I20" s="8" t="n">
        <x:f>'合同排期'!O21*12*'假设'!D82^E20</x:f>
        <x:v>2.916</x:v>
      </x:c>
      <x:c r="J20" s="2" t="n">
        <x:f>MAX(0,MIN(G20,12)-MAX(F20,1)+1)/12*H20</x:f>
        <x:v>0</x:v>
      </x:c>
      <x:c r="K20" s="2" t="n">
        <x:f>MAX(0,MIN(G20,24)-MAX(F20,13)+1)/12*H20</x:f>
        <x:v>0</x:v>
      </x:c>
      <x:c r="L20" s="2" t="n">
        <x:f>MAX(0,MIN(G20,36)-MAX(F20,25)+1)/12*H20</x:f>
        <x:v>0</x:v>
      </x:c>
      <x:c r="M20" s="2" t="n">
        <x:f>MAX(0,MIN(G20,48)-MAX(F20,37)+1)/12*H20</x:f>
        <x:v>9.72</x:v>
      </x:c>
      <x:c r="N20" s="2" t="n">
        <x:f>IF(AND(E20&gt;0,F20&gt;=1,F20&lt;=12),H20,0)</x:f>
        <x:v>0</x:v>
      </x:c>
      <x:c r="O20" s="2" t="n">
        <x:f>IF(AND(E20&gt;0,F20&gt;=13,F20&lt;=24),H20,0)</x:f>
        <x:v>0</x:v>
      </x:c>
      <x:c r="P20" s="2" t="n">
        <x:f>IF(AND(E20&gt;0,F20&gt;=25,F20&lt;=36),H20,0)</x:f>
        <x:v>0</x:v>
      </x:c>
      <x:c r="Q20" s="2" t="n">
        <x:f>IF(AND(E20&gt;0,F20&gt;=37,F20&lt;=48),H20,0)</x:f>
        <x:v>9.72</x:v>
      </x:c>
      <x:c r="R20" s="2" t="n">
        <x:f>IF(AND(D20&lt;=12,IF(E20=0,D20,F20)&lt;=12,G20&gt;=12),H20,0)</x:f>
        <x:v>0</x:v>
      </x:c>
      <x:c r="S20" s="2" t="n">
        <x:f>IF(AND(D20&lt;=24,IF(E20=0,D20,F20)&lt;=24,G20&gt;=24),H20,0)</x:f>
        <x:v>0</x:v>
      </x:c>
      <x:c r="T20" s="2" t="n">
        <x:f>IF(AND(D20&lt;=36,IF(E20=0,D20,F20)&lt;=36,G20&gt;=36),H20,0)</x:f>
        <x:v>0</x:v>
      </x:c>
      <x:c r="U20" s="2" t="n">
        <x:f>IF(AND(D20&lt;=48,IF(E20=0,D20,F20)&lt;=48,G20&gt;=48),H20,0)</x:f>
        <x:v>9.72</x:v>
      </x:c>
      <x:c r="V20" s="2" t="n">
        <x:f>MAX(0,MIN(G20,12)-MAX(F20,1)+1)/12*I20</x:f>
        <x:v>0</x:v>
      </x:c>
      <x:c r="W20" s="2" t="n">
        <x:f>MAX(0,MIN(G20,24)-MAX(F20,13)+1)/12*I20</x:f>
        <x:v>0</x:v>
      </x:c>
      <x:c r="X20" s="2" t="n">
        <x:f>MAX(0,MIN(G20,36)-MAX(F20,25)+1)/12*I20</x:f>
        <x:v>0</x:v>
      </x:c>
      <x:c r="Y20" s="2" t="n">
        <x:f>MAX(0,MIN(G20,48)-MAX(F20,37)+1)/12*I20</x:f>
        <x:v>2.916</x:v>
      </x:c>
    </x:row>
    <x:row r="21" ht="23" customHeight="1">
      <x:c r="A21" s="1"/>
      <x:c r="B21" s="1"/>
      <x:c r="C21" s="1" t="str">
        <x:v>Y1-E04 第4服务年</x:v>
      </x:c>
      <x:c r="D21" s="8" t="n">
        <x:f>'合同排期'!H21</x:f>
        <x:v>9</x:v>
      </x:c>
      <x:c r="E21" s="10" t="n">
        <x:v>3</x:v>
      </x:c>
      <x:c r="F21" s="8" t="n">
        <x:f>'合同排期'!J21+12*E21</x:f>
        <x:v>49</x:v>
      </x:c>
      <x:c r="G21" s="2" t="n">
        <x:f>F21+11</x:f>
        <x:v>60</x:v>
      </x:c>
      <x:c r="H21" s="8" t="n">
        <x:f>'合同排期'!L21*'假设'!D82^E21</x:f>
        <x:v>8.748000000000001</x:v>
      </x:c>
      <x:c r="I21" s="8" t="n">
        <x:f>'合同排期'!O21*12*'假设'!D82^E21</x:f>
        <x:v>2.6244</x:v>
      </x:c>
      <x:c r="J21" s="2" t="n">
        <x:f>MAX(0,MIN(G21,12)-MAX(F21,1)+1)/12*H21</x:f>
        <x:v>0</x:v>
      </x:c>
      <x:c r="K21" s="2" t="n">
        <x:f>MAX(0,MIN(G21,24)-MAX(F21,13)+1)/12*H21</x:f>
        <x:v>0</x:v>
      </x:c>
      <x:c r="L21" s="2" t="n">
        <x:f>MAX(0,MIN(G21,36)-MAX(F21,25)+1)/12*H21</x:f>
        <x:v>0</x:v>
      </x:c>
      <x:c r="M21" s="2" t="n">
        <x:f>MAX(0,MIN(G21,48)-MAX(F21,37)+1)/12*H21</x:f>
        <x:v>0</x:v>
      </x:c>
      <x:c r="N21" s="2" t="n">
        <x:f>IF(AND(E21&gt;0,F21&gt;=1,F21&lt;=12),H21,0)</x:f>
        <x:v>0</x:v>
      </x:c>
      <x:c r="O21" s="2" t="n">
        <x:f>IF(AND(E21&gt;0,F21&gt;=13,F21&lt;=24),H21,0)</x:f>
        <x:v>0</x:v>
      </x:c>
      <x:c r="P21" s="2" t="n">
        <x:f>IF(AND(E21&gt;0,F21&gt;=25,F21&lt;=36),H21,0)</x:f>
        <x:v>0</x:v>
      </x:c>
      <x:c r="Q21" s="2" t="n">
        <x:f>IF(AND(E21&gt;0,F21&gt;=37,F21&lt;=48),H21,0)</x:f>
        <x:v>0</x:v>
      </x:c>
      <x:c r="R21" s="2" t="n">
        <x:f>IF(AND(D21&lt;=12,IF(E21=0,D21,F21)&lt;=12,G21&gt;=12),H21,0)</x:f>
        <x:v>0</x:v>
      </x:c>
      <x:c r="S21" s="2" t="n">
        <x:f>IF(AND(D21&lt;=24,IF(E21=0,D21,F21)&lt;=24,G21&gt;=24),H21,0)</x:f>
        <x:v>0</x:v>
      </x:c>
      <x:c r="T21" s="2" t="n">
        <x:f>IF(AND(D21&lt;=36,IF(E21=0,D21,F21)&lt;=36,G21&gt;=36),H21,0)</x:f>
        <x:v>0</x:v>
      </x:c>
      <x:c r="U21" s="2" t="n">
        <x:f>IF(AND(D21&lt;=48,IF(E21=0,D21,F21)&lt;=48,G21&gt;=48),H21,0)</x:f>
        <x:v>0</x:v>
      </x:c>
      <x:c r="V21" s="2" t="n">
        <x:f>MAX(0,MIN(G21,12)-MAX(F21,1)+1)/12*I21</x:f>
        <x:v>0</x:v>
      </x:c>
      <x:c r="W21" s="2" t="n">
        <x:f>MAX(0,MIN(G21,24)-MAX(F21,13)+1)/12*I21</x:f>
        <x:v>0</x:v>
      </x:c>
      <x:c r="X21" s="2" t="n">
        <x:f>MAX(0,MIN(G21,36)-MAX(F21,25)+1)/12*I21</x:f>
        <x:v>0</x:v>
      </x:c>
      <x:c r="Y21" s="2" t="n">
        <x:f>MAX(0,MIN(G21,48)-MAX(F21,37)+1)/12*I21</x:f>
        <x:v>0</x:v>
      </x:c>
    </x:row>
    <x:row r="22" ht="23" customHeight="1">
      <x:c r="A22" s="1"/>
      <x:c r="B22" s="1"/>
      <x:c r="C22" s="1" t="str">
        <x:v>Y1-E05 第1服务年</x:v>
      </x:c>
      <x:c r="D22" s="8" t="n">
        <x:f>'合同排期'!H22</x:f>
        <x:v>9</x:v>
      </x:c>
      <x:c r="E22" s="10" t="n">
        <x:v>0</x:v>
      </x:c>
      <x:c r="F22" s="8" t="n">
        <x:f>'合同排期'!J22+12*E22</x:f>
        <x:v>13</x:v>
      </x:c>
      <x:c r="G22" s="2" t="n">
        <x:f>F22+11</x:f>
        <x:v>24</x:v>
      </x:c>
      <x:c r="H22" s="8" t="n">
        <x:f>'合同排期'!L22*'假设'!D82^E22</x:f>
        <x:v>0</x:v>
      </x:c>
      <x:c r="I22" s="8" t="n">
        <x:f>'合同排期'!O22*12*'假设'!D82^E22</x:f>
        <x:v>0</x:v>
      </x:c>
      <x:c r="J22" s="2" t="n">
        <x:f>MAX(0,MIN(G22,12)-MAX(F22,1)+1)/12*H22</x:f>
        <x:v>0</x:v>
      </x:c>
      <x:c r="K22" s="2" t="n">
        <x:f>MAX(0,MIN(G22,24)-MAX(F22,13)+1)/12*H22</x:f>
        <x:v>0</x:v>
      </x:c>
      <x:c r="L22" s="2" t="n">
        <x:f>MAX(0,MIN(G22,36)-MAX(F22,25)+1)/12*H22</x:f>
        <x:v>0</x:v>
      </x:c>
      <x:c r="M22" s="2" t="n">
        <x:f>MAX(0,MIN(G22,48)-MAX(F22,37)+1)/12*H22</x:f>
        <x:v>0</x:v>
      </x:c>
      <x:c r="N22" s="2" t="n">
        <x:f>IF(AND(E22&gt;0,F22&gt;=1,F22&lt;=12),H22,0)</x:f>
        <x:v>0</x:v>
      </x:c>
      <x:c r="O22" s="2" t="n">
        <x:f>IF(AND(E22&gt;0,F22&gt;=13,F22&lt;=24),H22,0)</x:f>
        <x:v>0</x:v>
      </x:c>
      <x:c r="P22" s="2" t="n">
        <x:f>IF(AND(E22&gt;0,F22&gt;=25,F22&lt;=36),H22,0)</x:f>
        <x:v>0</x:v>
      </x:c>
      <x:c r="Q22" s="2" t="n">
        <x:f>IF(AND(E22&gt;0,F22&gt;=37,F22&lt;=48),H22,0)</x:f>
        <x:v>0</x:v>
      </x:c>
      <x:c r="R22" s="2" t="n">
        <x:f>IF(AND(D22&lt;=12,IF(E22=0,D22,F22)&lt;=12,G22&gt;=12),H22,0)</x:f>
        <x:v>0</x:v>
      </x:c>
      <x:c r="S22" s="2" t="n">
        <x:f>IF(AND(D22&lt;=24,IF(E22=0,D22,F22)&lt;=24,G22&gt;=24),H22,0)</x:f>
        <x:v>0</x:v>
      </x:c>
      <x:c r="T22" s="2" t="n">
        <x:f>IF(AND(D22&lt;=36,IF(E22=0,D22,F22)&lt;=36,G22&gt;=36),H22,0)</x:f>
        <x:v>0</x:v>
      </x:c>
      <x:c r="U22" s="2" t="n">
        <x:f>IF(AND(D22&lt;=48,IF(E22=0,D22,F22)&lt;=48,G22&gt;=48),H22,0)</x:f>
        <x:v>0</x:v>
      </x:c>
      <x:c r="V22" s="2" t="n">
        <x:f>MAX(0,MIN(G22,12)-MAX(F22,1)+1)/12*I22</x:f>
        <x:v>0</x:v>
      </x:c>
      <x:c r="W22" s="2" t="n">
        <x:f>MAX(0,MIN(G22,24)-MAX(F22,13)+1)/12*I22</x:f>
        <x:v>0</x:v>
      </x:c>
      <x:c r="X22" s="2" t="n">
        <x:f>MAX(0,MIN(G22,36)-MAX(F22,25)+1)/12*I22</x:f>
        <x:v>0</x:v>
      </x:c>
      <x:c r="Y22" s="2" t="n">
        <x:f>MAX(0,MIN(G22,48)-MAX(F22,37)+1)/12*I22</x:f>
        <x:v>0</x:v>
      </x:c>
    </x:row>
    <x:row r="23" ht="23" customHeight="1">
      <x:c r="A23" s="1"/>
      <x:c r="B23" s="1"/>
      <x:c r="C23" s="1" t="str">
        <x:v>Y1-E05 第2服务年</x:v>
      </x:c>
      <x:c r="D23" s="8" t="n">
        <x:f>'合同排期'!H22</x:f>
        <x:v>9</x:v>
      </x:c>
      <x:c r="E23" s="10" t="n">
        <x:v>1</x:v>
      </x:c>
      <x:c r="F23" s="8" t="n">
        <x:f>'合同排期'!J22+12*E23</x:f>
        <x:v>25</x:v>
      </x:c>
      <x:c r="G23" s="2" t="n">
        <x:f>F23+11</x:f>
        <x:v>36</x:v>
      </x:c>
      <x:c r="H23" s="8" t="n">
        <x:f>'合同排期'!L22*'假设'!D82^E23</x:f>
        <x:v>0</x:v>
      </x:c>
      <x:c r="I23" s="8" t="n">
        <x:f>'合同排期'!O22*12*'假设'!D82^E23</x:f>
        <x:v>0</x:v>
      </x:c>
      <x:c r="J23" s="2" t="n">
        <x:f>MAX(0,MIN(G23,12)-MAX(F23,1)+1)/12*H23</x:f>
        <x:v>0</x:v>
      </x:c>
      <x:c r="K23" s="2" t="n">
        <x:f>MAX(0,MIN(G23,24)-MAX(F23,13)+1)/12*H23</x:f>
        <x:v>0</x:v>
      </x:c>
      <x:c r="L23" s="2" t="n">
        <x:f>MAX(0,MIN(G23,36)-MAX(F23,25)+1)/12*H23</x:f>
        <x:v>0</x:v>
      </x:c>
      <x:c r="M23" s="2" t="n">
        <x:f>MAX(0,MIN(G23,48)-MAX(F23,37)+1)/12*H23</x:f>
        <x:v>0</x:v>
      </x:c>
      <x:c r="N23" s="2" t="n">
        <x:f>IF(AND(E23&gt;0,F23&gt;=1,F23&lt;=12),H23,0)</x:f>
        <x:v>0</x:v>
      </x:c>
      <x:c r="O23" s="2" t="n">
        <x:f>IF(AND(E23&gt;0,F23&gt;=13,F23&lt;=24),H23,0)</x:f>
        <x:v>0</x:v>
      </x:c>
      <x:c r="P23" s="2" t="n">
        <x:f>IF(AND(E23&gt;0,F23&gt;=25,F23&lt;=36),H23,0)</x:f>
        <x:v>0</x:v>
      </x:c>
      <x:c r="Q23" s="2" t="n">
        <x:f>IF(AND(E23&gt;0,F23&gt;=37,F23&lt;=48),H23,0)</x:f>
        <x:v>0</x:v>
      </x:c>
      <x:c r="R23" s="2" t="n">
        <x:f>IF(AND(D23&lt;=12,IF(E23=0,D23,F23)&lt;=12,G23&gt;=12),H23,0)</x:f>
        <x:v>0</x:v>
      </x:c>
      <x:c r="S23" s="2" t="n">
        <x:f>IF(AND(D23&lt;=24,IF(E23=0,D23,F23)&lt;=24,G23&gt;=24),H23,0)</x:f>
        <x:v>0</x:v>
      </x:c>
      <x:c r="T23" s="2" t="n">
        <x:f>IF(AND(D23&lt;=36,IF(E23=0,D23,F23)&lt;=36,G23&gt;=36),H23,0)</x:f>
        <x:v>0</x:v>
      </x:c>
      <x:c r="U23" s="2" t="n">
        <x:f>IF(AND(D23&lt;=48,IF(E23=0,D23,F23)&lt;=48,G23&gt;=48),H23,0)</x:f>
        <x:v>0</x:v>
      </x:c>
      <x:c r="V23" s="2" t="n">
        <x:f>MAX(0,MIN(G23,12)-MAX(F23,1)+1)/12*I23</x:f>
        <x:v>0</x:v>
      </x:c>
      <x:c r="W23" s="2" t="n">
        <x:f>MAX(0,MIN(G23,24)-MAX(F23,13)+1)/12*I23</x:f>
        <x:v>0</x:v>
      </x:c>
      <x:c r="X23" s="2" t="n">
        <x:f>MAX(0,MIN(G23,36)-MAX(F23,25)+1)/12*I23</x:f>
        <x:v>0</x:v>
      </x:c>
      <x:c r="Y23" s="2" t="n">
        <x:f>MAX(0,MIN(G23,48)-MAX(F23,37)+1)/12*I23</x:f>
        <x:v>0</x:v>
      </x:c>
    </x:row>
    <x:row r="24" ht="23" customHeight="1">
      <x:c r="A24" s="1"/>
      <x:c r="B24" s="1"/>
      <x:c r="C24" s="1" t="str">
        <x:v>Y1-E05 第3服务年</x:v>
      </x:c>
      <x:c r="D24" s="8" t="n">
        <x:f>'合同排期'!H22</x:f>
        <x:v>9</x:v>
      </x:c>
      <x:c r="E24" s="10" t="n">
        <x:v>2</x:v>
      </x:c>
      <x:c r="F24" s="8" t="n">
        <x:f>'合同排期'!J22+12*E24</x:f>
        <x:v>37</x:v>
      </x:c>
      <x:c r="G24" s="2" t="n">
        <x:f>F24+11</x:f>
        <x:v>48</x:v>
      </x:c>
      <x:c r="H24" s="8" t="n">
        <x:f>'合同排期'!L22*'假设'!D82^E24</x:f>
        <x:v>0</x:v>
      </x:c>
      <x:c r="I24" s="8" t="n">
        <x:f>'合同排期'!O22*12*'假设'!D82^E24</x:f>
        <x:v>0</x:v>
      </x:c>
      <x:c r="J24" s="2" t="n">
        <x:f>MAX(0,MIN(G24,12)-MAX(F24,1)+1)/12*H24</x:f>
        <x:v>0</x:v>
      </x:c>
      <x:c r="K24" s="2" t="n">
        <x:f>MAX(0,MIN(G24,24)-MAX(F24,13)+1)/12*H24</x:f>
        <x:v>0</x:v>
      </x:c>
      <x:c r="L24" s="2" t="n">
        <x:f>MAX(0,MIN(G24,36)-MAX(F24,25)+1)/12*H24</x:f>
        <x:v>0</x:v>
      </x:c>
      <x:c r="M24" s="2" t="n">
        <x:f>MAX(0,MIN(G24,48)-MAX(F24,37)+1)/12*H24</x:f>
        <x:v>0</x:v>
      </x:c>
      <x:c r="N24" s="2" t="n">
        <x:f>IF(AND(E24&gt;0,F24&gt;=1,F24&lt;=12),H24,0)</x:f>
        <x:v>0</x:v>
      </x:c>
      <x:c r="O24" s="2" t="n">
        <x:f>IF(AND(E24&gt;0,F24&gt;=13,F24&lt;=24),H24,0)</x:f>
        <x:v>0</x:v>
      </x:c>
      <x:c r="P24" s="2" t="n">
        <x:f>IF(AND(E24&gt;0,F24&gt;=25,F24&lt;=36),H24,0)</x:f>
        <x:v>0</x:v>
      </x:c>
      <x:c r="Q24" s="2" t="n">
        <x:f>IF(AND(E24&gt;0,F24&gt;=37,F24&lt;=48),H24,0)</x:f>
        <x:v>0</x:v>
      </x:c>
      <x:c r="R24" s="2" t="n">
        <x:f>IF(AND(D24&lt;=12,IF(E24=0,D24,F24)&lt;=12,G24&gt;=12),H24,0)</x:f>
        <x:v>0</x:v>
      </x:c>
      <x:c r="S24" s="2" t="n">
        <x:f>IF(AND(D24&lt;=24,IF(E24=0,D24,F24)&lt;=24,G24&gt;=24),H24,0)</x:f>
        <x:v>0</x:v>
      </x:c>
      <x:c r="T24" s="2" t="n">
        <x:f>IF(AND(D24&lt;=36,IF(E24=0,D24,F24)&lt;=36,G24&gt;=36),H24,0)</x:f>
        <x:v>0</x:v>
      </x:c>
      <x:c r="U24" s="2" t="n">
        <x:f>IF(AND(D24&lt;=48,IF(E24=0,D24,F24)&lt;=48,G24&gt;=48),H24,0)</x:f>
        <x:v>0</x:v>
      </x:c>
      <x:c r="V24" s="2" t="n">
        <x:f>MAX(0,MIN(G24,12)-MAX(F24,1)+1)/12*I24</x:f>
        <x:v>0</x:v>
      </x:c>
      <x:c r="W24" s="2" t="n">
        <x:f>MAX(0,MIN(G24,24)-MAX(F24,13)+1)/12*I24</x:f>
        <x:v>0</x:v>
      </x:c>
      <x:c r="X24" s="2" t="n">
        <x:f>MAX(0,MIN(G24,36)-MAX(F24,25)+1)/12*I24</x:f>
        <x:v>0</x:v>
      </x:c>
      <x:c r="Y24" s="2" t="n">
        <x:f>MAX(0,MIN(G24,48)-MAX(F24,37)+1)/12*I24</x:f>
        <x:v>0</x:v>
      </x:c>
    </x:row>
    <x:row r="25" ht="23" customHeight="1">
      <x:c r="A25" s="1"/>
      <x:c r="B25" s="1"/>
      <x:c r="C25" s="1" t="str">
        <x:v>Y1-E05 第4服务年</x:v>
      </x:c>
      <x:c r="D25" s="8" t="n">
        <x:f>'合同排期'!H22</x:f>
        <x:v>9</x:v>
      </x:c>
      <x:c r="E25" s="10" t="n">
        <x:v>3</x:v>
      </x:c>
      <x:c r="F25" s="8" t="n">
        <x:f>'合同排期'!J22+12*E25</x:f>
        <x:v>49</x:v>
      </x:c>
      <x:c r="G25" s="2" t="n">
        <x:f>F25+11</x:f>
        <x:v>60</x:v>
      </x:c>
      <x:c r="H25" s="8" t="n">
        <x:f>'合同排期'!L22*'假设'!D82^E25</x:f>
        <x:v>0</x:v>
      </x:c>
      <x:c r="I25" s="8" t="n">
        <x:f>'合同排期'!O22*12*'假设'!D82^E25</x:f>
        <x:v>0</x:v>
      </x:c>
      <x:c r="J25" s="2" t="n">
        <x:f>MAX(0,MIN(G25,12)-MAX(F25,1)+1)/12*H25</x:f>
        <x:v>0</x:v>
      </x:c>
      <x:c r="K25" s="2" t="n">
        <x:f>MAX(0,MIN(G25,24)-MAX(F25,13)+1)/12*H25</x:f>
        <x:v>0</x:v>
      </x:c>
      <x:c r="L25" s="2" t="n">
        <x:f>MAX(0,MIN(G25,36)-MAX(F25,25)+1)/12*H25</x:f>
        <x:v>0</x:v>
      </x:c>
      <x:c r="M25" s="2" t="n">
        <x:f>MAX(0,MIN(G25,48)-MAX(F25,37)+1)/12*H25</x:f>
        <x:v>0</x:v>
      </x:c>
      <x:c r="N25" s="2" t="n">
        <x:f>IF(AND(E25&gt;0,F25&gt;=1,F25&lt;=12),H25,0)</x:f>
        <x:v>0</x:v>
      </x:c>
      <x:c r="O25" s="2" t="n">
        <x:f>IF(AND(E25&gt;0,F25&gt;=13,F25&lt;=24),H25,0)</x:f>
        <x:v>0</x:v>
      </x:c>
      <x:c r="P25" s="2" t="n">
        <x:f>IF(AND(E25&gt;0,F25&gt;=25,F25&lt;=36),H25,0)</x:f>
        <x:v>0</x:v>
      </x:c>
      <x:c r="Q25" s="2" t="n">
        <x:f>IF(AND(E25&gt;0,F25&gt;=37,F25&lt;=48),H25,0)</x:f>
        <x:v>0</x:v>
      </x:c>
      <x:c r="R25" s="2" t="n">
        <x:f>IF(AND(D25&lt;=12,IF(E25=0,D25,F25)&lt;=12,G25&gt;=12),H25,0)</x:f>
        <x:v>0</x:v>
      </x:c>
      <x:c r="S25" s="2" t="n">
        <x:f>IF(AND(D25&lt;=24,IF(E25=0,D25,F25)&lt;=24,G25&gt;=24),H25,0)</x:f>
        <x:v>0</x:v>
      </x:c>
      <x:c r="T25" s="2" t="n">
        <x:f>IF(AND(D25&lt;=36,IF(E25=0,D25,F25)&lt;=36,G25&gt;=36),H25,0)</x:f>
        <x:v>0</x:v>
      </x:c>
      <x:c r="U25" s="2" t="n">
        <x:f>IF(AND(D25&lt;=48,IF(E25=0,D25,F25)&lt;=48,G25&gt;=48),H25,0)</x:f>
        <x:v>0</x:v>
      </x:c>
      <x:c r="V25" s="2" t="n">
        <x:f>MAX(0,MIN(G25,12)-MAX(F25,1)+1)/12*I25</x:f>
        <x:v>0</x:v>
      </x:c>
      <x:c r="W25" s="2" t="n">
        <x:f>MAX(0,MIN(G25,24)-MAX(F25,13)+1)/12*I25</x:f>
        <x:v>0</x:v>
      </x:c>
      <x:c r="X25" s="2" t="n">
        <x:f>MAX(0,MIN(G25,36)-MAX(F25,25)+1)/12*I25</x:f>
        <x:v>0</x:v>
      </x:c>
      <x:c r="Y25" s="2" t="n">
        <x:f>MAX(0,MIN(G25,48)-MAX(F25,37)+1)/12*I25</x:f>
        <x:v>0</x:v>
      </x:c>
    </x:row>
    <x:row r="26" ht="23" customHeight="1">
      <x:c r="A26" s="1"/>
      <x:c r="B26" s="1"/>
      <x:c r="C26" s="1" t="str">
        <x:v>Y1-E06 第1服务年</x:v>
      </x:c>
      <x:c r="D26" s="8" t="n">
        <x:f>'合同排期'!H23</x:f>
        <x:v>10</x:v>
      </x:c>
      <x:c r="E26" s="10" t="n">
        <x:v>0</x:v>
      </x:c>
      <x:c r="F26" s="8" t="n">
        <x:f>'合同排期'!J23+12*E26</x:f>
        <x:v>14</x:v>
      </x:c>
      <x:c r="G26" s="2" t="n">
        <x:f>F26+11</x:f>
        <x:v>25</x:v>
      </x:c>
      <x:c r="H26" s="8" t="n">
        <x:f>'合同排期'!L23*'假设'!D82^E26</x:f>
        <x:v>0</x:v>
      </x:c>
      <x:c r="I26" s="8" t="n">
        <x:f>'合同排期'!O23*12*'假设'!D82^E26</x:f>
        <x:v>0</x:v>
      </x:c>
      <x:c r="J26" s="2" t="n">
        <x:f>MAX(0,MIN(G26,12)-MAX(F26,1)+1)/12*H26</x:f>
        <x:v>0</x:v>
      </x:c>
      <x:c r="K26" s="2" t="n">
        <x:f>MAX(0,MIN(G26,24)-MAX(F26,13)+1)/12*H26</x:f>
        <x:v>0</x:v>
      </x:c>
      <x:c r="L26" s="2" t="n">
        <x:f>MAX(0,MIN(G26,36)-MAX(F26,25)+1)/12*H26</x:f>
        <x:v>0</x:v>
      </x:c>
      <x:c r="M26" s="2" t="n">
        <x:f>MAX(0,MIN(G26,48)-MAX(F26,37)+1)/12*H26</x:f>
        <x:v>0</x:v>
      </x:c>
      <x:c r="N26" s="2" t="n">
        <x:f>IF(AND(E26&gt;0,F26&gt;=1,F26&lt;=12),H26,0)</x:f>
        <x:v>0</x:v>
      </x:c>
      <x:c r="O26" s="2" t="n">
        <x:f>IF(AND(E26&gt;0,F26&gt;=13,F26&lt;=24),H26,0)</x:f>
        <x:v>0</x:v>
      </x:c>
      <x:c r="P26" s="2" t="n">
        <x:f>IF(AND(E26&gt;0,F26&gt;=25,F26&lt;=36),H26,0)</x:f>
        <x:v>0</x:v>
      </x:c>
      <x:c r="Q26" s="2" t="n">
        <x:f>IF(AND(E26&gt;0,F26&gt;=37,F26&lt;=48),H26,0)</x:f>
        <x:v>0</x:v>
      </x:c>
      <x:c r="R26" s="2" t="n">
        <x:f>IF(AND(D26&lt;=12,IF(E26=0,D26,F26)&lt;=12,G26&gt;=12),H26,0)</x:f>
        <x:v>0</x:v>
      </x:c>
      <x:c r="S26" s="2" t="n">
        <x:f>IF(AND(D26&lt;=24,IF(E26=0,D26,F26)&lt;=24,G26&gt;=24),H26,0)</x:f>
        <x:v>0</x:v>
      </x:c>
      <x:c r="T26" s="2" t="n">
        <x:f>IF(AND(D26&lt;=36,IF(E26=0,D26,F26)&lt;=36,G26&gt;=36),H26,0)</x:f>
        <x:v>0</x:v>
      </x:c>
      <x:c r="U26" s="2" t="n">
        <x:f>IF(AND(D26&lt;=48,IF(E26=0,D26,F26)&lt;=48,G26&gt;=48),H26,0)</x:f>
        <x:v>0</x:v>
      </x:c>
      <x:c r="V26" s="2" t="n">
        <x:f>MAX(0,MIN(G26,12)-MAX(F26,1)+1)/12*I26</x:f>
        <x:v>0</x:v>
      </x:c>
      <x:c r="W26" s="2" t="n">
        <x:f>MAX(0,MIN(G26,24)-MAX(F26,13)+1)/12*I26</x:f>
        <x:v>0</x:v>
      </x:c>
      <x:c r="X26" s="2" t="n">
        <x:f>MAX(0,MIN(G26,36)-MAX(F26,25)+1)/12*I26</x:f>
        <x:v>0</x:v>
      </x:c>
      <x:c r="Y26" s="2" t="n">
        <x:f>MAX(0,MIN(G26,48)-MAX(F26,37)+1)/12*I26</x:f>
        <x:v>0</x:v>
      </x:c>
    </x:row>
    <x:row r="27" ht="23" customHeight="1">
      <x:c r="A27" s="1"/>
      <x:c r="B27" s="1"/>
      <x:c r="C27" s="1" t="str">
        <x:v>Y1-E06 第2服务年</x:v>
      </x:c>
      <x:c r="D27" s="8" t="n">
        <x:f>'合同排期'!H23</x:f>
        <x:v>10</x:v>
      </x:c>
      <x:c r="E27" s="10" t="n">
        <x:v>1</x:v>
      </x:c>
      <x:c r="F27" s="8" t="n">
        <x:f>'合同排期'!J23+12*E27</x:f>
        <x:v>26</x:v>
      </x:c>
      <x:c r="G27" s="2" t="n">
        <x:f>F27+11</x:f>
        <x:v>37</x:v>
      </x:c>
      <x:c r="H27" s="8" t="n">
        <x:f>'合同排期'!L23*'假设'!D82^E27</x:f>
        <x:v>0</x:v>
      </x:c>
      <x:c r="I27" s="8" t="n">
        <x:f>'合同排期'!O23*12*'假设'!D82^E27</x:f>
        <x:v>0</x:v>
      </x:c>
      <x:c r="J27" s="2" t="n">
        <x:f>MAX(0,MIN(G27,12)-MAX(F27,1)+1)/12*H27</x:f>
        <x:v>0</x:v>
      </x:c>
      <x:c r="K27" s="2" t="n">
        <x:f>MAX(0,MIN(G27,24)-MAX(F27,13)+1)/12*H27</x:f>
        <x:v>0</x:v>
      </x:c>
      <x:c r="L27" s="2" t="n">
        <x:f>MAX(0,MIN(G27,36)-MAX(F27,25)+1)/12*H27</x:f>
        <x:v>0</x:v>
      </x:c>
      <x:c r="M27" s="2" t="n">
        <x:f>MAX(0,MIN(G27,48)-MAX(F27,37)+1)/12*H27</x:f>
        <x:v>0</x:v>
      </x:c>
      <x:c r="N27" s="2" t="n">
        <x:f>IF(AND(E27&gt;0,F27&gt;=1,F27&lt;=12),H27,0)</x:f>
        <x:v>0</x:v>
      </x:c>
      <x:c r="O27" s="2" t="n">
        <x:f>IF(AND(E27&gt;0,F27&gt;=13,F27&lt;=24),H27,0)</x:f>
        <x:v>0</x:v>
      </x:c>
      <x:c r="P27" s="2" t="n">
        <x:f>IF(AND(E27&gt;0,F27&gt;=25,F27&lt;=36),H27,0)</x:f>
        <x:v>0</x:v>
      </x:c>
      <x:c r="Q27" s="2" t="n">
        <x:f>IF(AND(E27&gt;0,F27&gt;=37,F27&lt;=48),H27,0)</x:f>
        <x:v>0</x:v>
      </x:c>
      <x:c r="R27" s="2" t="n">
        <x:f>IF(AND(D27&lt;=12,IF(E27=0,D27,F27)&lt;=12,G27&gt;=12),H27,0)</x:f>
        <x:v>0</x:v>
      </x:c>
      <x:c r="S27" s="2" t="n">
        <x:f>IF(AND(D27&lt;=24,IF(E27=0,D27,F27)&lt;=24,G27&gt;=24),H27,0)</x:f>
        <x:v>0</x:v>
      </x:c>
      <x:c r="T27" s="2" t="n">
        <x:f>IF(AND(D27&lt;=36,IF(E27=0,D27,F27)&lt;=36,G27&gt;=36),H27,0)</x:f>
        <x:v>0</x:v>
      </x:c>
      <x:c r="U27" s="2" t="n">
        <x:f>IF(AND(D27&lt;=48,IF(E27=0,D27,F27)&lt;=48,G27&gt;=48),H27,0)</x:f>
        <x:v>0</x:v>
      </x:c>
      <x:c r="V27" s="2" t="n">
        <x:f>MAX(0,MIN(G27,12)-MAX(F27,1)+1)/12*I27</x:f>
        <x:v>0</x:v>
      </x:c>
      <x:c r="W27" s="2" t="n">
        <x:f>MAX(0,MIN(G27,24)-MAX(F27,13)+1)/12*I27</x:f>
        <x:v>0</x:v>
      </x:c>
      <x:c r="X27" s="2" t="n">
        <x:f>MAX(0,MIN(G27,36)-MAX(F27,25)+1)/12*I27</x:f>
        <x:v>0</x:v>
      </x:c>
      <x:c r="Y27" s="2" t="n">
        <x:f>MAX(0,MIN(G27,48)-MAX(F27,37)+1)/12*I27</x:f>
        <x:v>0</x:v>
      </x:c>
    </x:row>
    <x:row r="28" ht="23" customHeight="1">
      <x:c r="A28" s="1"/>
      <x:c r="B28" s="1"/>
      <x:c r="C28" s="1" t="str">
        <x:v>Y1-E06 第3服务年</x:v>
      </x:c>
      <x:c r="D28" s="8" t="n">
        <x:f>'合同排期'!H23</x:f>
        <x:v>10</x:v>
      </x:c>
      <x:c r="E28" s="10" t="n">
        <x:v>2</x:v>
      </x:c>
      <x:c r="F28" s="8" t="n">
        <x:f>'合同排期'!J23+12*E28</x:f>
        <x:v>38</x:v>
      </x:c>
      <x:c r="G28" s="2" t="n">
        <x:f>F28+11</x:f>
        <x:v>49</x:v>
      </x:c>
      <x:c r="H28" s="8" t="n">
        <x:f>'合同排期'!L23*'假设'!D82^E28</x:f>
        <x:v>0</x:v>
      </x:c>
      <x:c r="I28" s="8" t="n">
        <x:f>'合同排期'!O23*12*'假设'!D82^E28</x:f>
        <x:v>0</x:v>
      </x:c>
      <x:c r="J28" s="2" t="n">
        <x:f>MAX(0,MIN(G28,12)-MAX(F28,1)+1)/12*H28</x:f>
        <x:v>0</x:v>
      </x:c>
      <x:c r="K28" s="2" t="n">
        <x:f>MAX(0,MIN(G28,24)-MAX(F28,13)+1)/12*H28</x:f>
        <x:v>0</x:v>
      </x:c>
      <x:c r="L28" s="2" t="n">
        <x:f>MAX(0,MIN(G28,36)-MAX(F28,25)+1)/12*H28</x:f>
        <x:v>0</x:v>
      </x:c>
      <x:c r="M28" s="2" t="n">
        <x:f>MAX(0,MIN(G28,48)-MAX(F28,37)+1)/12*H28</x:f>
        <x:v>0</x:v>
      </x:c>
      <x:c r="N28" s="2" t="n">
        <x:f>IF(AND(E28&gt;0,F28&gt;=1,F28&lt;=12),H28,0)</x:f>
        <x:v>0</x:v>
      </x:c>
      <x:c r="O28" s="2" t="n">
        <x:f>IF(AND(E28&gt;0,F28&gt;=13,F28&lt;=24),H28,0)</x:f>
        <x:v>0</x:v>
      </x:c>
      <x:c r="P28" s="2" t="n">
        <x:f>IF(AND(E28&gt;0,F28&gt;=25,F28&lt;=36),H28,0)</x:f>
        <x:v>0</x:v>
      </x:c>
      <x:c r="Q28" s="2" t="n">
        <x:f>IF(AND(E28&gt;0,F28&gt;=37,F28&lt;=48),H28,0)</x:f>
        <x:v>0</x:v>
      </x:c>
      <x:c r="R28" s="2" t="n">
        <x:f>IF(AND(D28&lt;=12,IF(E28=0,D28,F28)&lt;=12,G28&gt;=12),H28,0)</x:f>
        <x:v>0</x:v>
      </x:c>
      <x:c r="S28" s="2" t="n">
        <x:f>IF(AND(D28&lt;=24,IF(E28=0,D28,F28)&lt;=24,G28&gt;=24),H28,0)</x:f>
        <x:v>0</x:v>
      </x:c>
      <x:c r="T28" s="2" t="n">
        <x:f>IF(AND(D28&lt;=36,IF(E28=0,D28,F28)&lt;=36,G28&gt;=36),H28,0)</x:f>
        <x:v>0</x:v>
      </x:c>
      <x:c r="U28" s="2" t="n">
        <x:f>IF(AND(D28&lt;=48,IF(E28=0,D28,F28)&lt;=48,G28&gt;=48),H28,0)</x:f>
        <x:v>0</x:v>
      </x:c>
      <x:c r="V28" s="2" t="n">
        <x:f>MAX(0,MIN(G28,12)-MAX(F28,1)+1)/12*I28</x:f>
        <x:v>0</x:v>
      </x:c>
      <x:c r="W28" s="2" t="n">
        <x:f>MAX(0,MIN(G28,24)-MAX(F28,13)+1)/12*I28</x:f>
        <x:v>0</x:v>
      </x:c>
      <x:c r="X28" s="2" t="n">
        <x:f>MAX(0,MIN(G28,36)-MAX(F28,25)+1)/12*I28</x:f>
        <x:v>0</x:v>
      </x:c>
      <x:c r="Y28" s="2" t="n">
        <x:f>MAX(0,MIN(G28,48)-MAX(F28,37)+1)/12*I28</x:f>
        <x:v>0</x:v>
      </x:c>
    </x:row>
    <x:row r="29" ht="23" customHeight="1">
      <x:c r="A29" s="1"/>
      <x:c r="B29" s="1"/>
      <x:c r="C29" s="1" t="str">
        <x:v>Y1-E06 第4服务年</x:v>
      </x:c>
      <x:c r="D29" s="8" t="n">
        <x:f>'合同排期'!H23</x:f>
        <x:v>10</x:v>
      </x:c>
      <x:c r="E29" s="10" t="n">
        <x:v>3</x:v>
      </x:c>
      <x:c r="F29" s="8" t="n">
        <x:f>'合同排期'!J23+12*E29</x:f>
        <x:v>50</x:v>
      </x:c>
      <x:c r="G29" s="2" t="n">
        <x:f>F29+11</x:f>
        <x:v>61</x:v>
      </x:c>
      <x:c r="H29" s="8" t="n">
        <x:f>'合同排期'!L23*'假设'!D82^E29</x:f>
        <x:v>0</x:v>
      </x:c>
      <x:c r="I29" s="8" t="n">
        <x:f>'合同排期'!O23*12*'假设'!D82^E29</x:f>
        <x:v>0</x:v>
      </x:c>
      <x:c r="J29" s="2" t="n">
        <x:f>MAX(0,MIN(G29,12)-MAX(F29,1)+1)/12*H29</x:f>
        <x:v>0</x:v>
      </x:c>
      <x:c r="K29" s="2" t="n">
        <x:f>MAX(0,MIN(G29,24)-MAX(F29,13)+1)/12*H29</x:f>
        <x:v>0</x:v>
      </x:c>
      <x:c r="L29" s="2" t="n">
        <x:f>MAX(0,MIN(G29,36)-MAX(F29,25)+1)/12*H29</x:f>
        <x:v>0</x:v>
      </x:c>
      <x:c r="M29" s="2" t="n">
        <x:f>MAX(0,MIN(G29,48)-MAX(F29,37)+1)/12*H29</x:f>
        <x:v>0</x:v>
      </x:c>
      <x:c r="N29" s="2" t="n">
        <x:f>IF(AND(E29&gt;0,F29&gt;=1,F29&lt;=12),H29,0)</x:f>
        <x:v>0</x:v>
      </x:c>
      <x:c r="O29" s="2" t="n">
        <x:f>IF(AND(E29&gt;0,F29&gt;=13,F29&lt;=24),H29,0)</x:f>
        <x:v>0</x:v>
      </x:c>
      <x:c r="P29" s="2" t="n">
        <x:f>IF(AND(E29&gt;0,F29&gt;=25,F29&lt;=36),H29,0)</x:f>
        <x:v>0</x:v>
      </x:c>
      <x:c r="Q29" s="2" t="n">
        <x:f>IF(AND(E29&gt;0,F29&gt;=37,F29&lt;=48),H29,0)</x:f>
        <x:v>0</x:v>
      </x:c>
      <x:c r="R29" s="2" t="n">
        <x:f>IF(AND(D29&lt;=12,IF(E29=0,D29,F29)&lt;=12,G29&gt;=12),H29,0)</x:f>
        <x:v>0</x:v>
      </x:c>
      <x:c r="S29" s="2" t="n">
        <x:f>IF(AND(D29&lt;=24,IF(E29=0,D29,F29)&lt;=24,G29&gt;=24),H29,0)</x:f>
        <x:v>0</x:v>
      </x:c>
      <x:c r="T29" s="2" t="n">
        <x:f>IF(AND(D29&lt;=36,IF(E29=0,D29,F29)&lt;=36,G29&gt;=36),H29,0)</x:f>
        <x:v>0</x:v>
      </x:c>
      <x:c r="U29" s="2" t="n">
        <x:f>IF(AND(D29&lt;=48,IF(E29=0,D29,F29)&lt;=48,G29&gt;=48),H29,0)</x:f>
        <x:v>0</x:v>
      </x:c>
      <x:c r="V29" s="2" t="n">
        <x:f>MAX(0,MIN(G29,12)-MAX(F29,1)+1)/12*I29</x:f>
        <x:v>0</x:v>
      </x:c>
      <x:c r="W29" s="2" t="n">
        <x:f>MAX(0,MIN(G29,24)-MAX(F29,13)+1)/12*I29</x:f>
        <x:v>0</x:v>
      </x:c>
      <x:c r="X29" s="2" t="n">
        <x:f>MAX(0,MIN(G29,36)-MAX(F29,25)+1)/12*I29</x:f>
        <x:v>0</x:v>
      </x:c>
      <x:c r="Y29" s="2" t="n">
        <x:f>MAX(0,MIN(G29,48)-MAX(F29,37)+1)/12*I29</x:f>
        <x:v>0</x:v>
      </x:c>
    </x:row>
    <x:row r="30" ht="23" customHeight="1">
      <x:c r="A30" s="1"/>
      <x:c r="B30" s="1"/>
      <x:c r="C30" s="1" t="str">
        <x:v>Y1-N01 第1服务年</x:v>
      </x:c>
      <x:c r="D30" s="8" t="n">
        <x:f>'合同排期'!H24</x:f>
        <x:v>6</x:v>
      </x:c>
      <x:c r="E30" s="10" t="n">
        <x:v>0</x:v>
      </x:c>
      <x:c r="F30" s="8" t="n">
        <x:f>'合同排期'!J24+12*E30</x:f>
        <x:v>13</x:v>
      </x:c>
      <x:c r="G30" s="2" t="n">
        <x:f>F30+11</x:f>
        <x:v>24</x:v>
      </x:c>
      <x:c r="H30" s="8" t="n">
        <x:f>'合同排期'!L24*'假设'!D82^E30</x:f>
        <x:v>24</x:v>
      </x:c>
      <x:c r="I30" s="8" t="n">
        <x:f>'合同排期'!O24*12*'假设'!D82^E30</x:f>
        <x:v>7.199999999999999</x:v>
      </x:c>
      <x:c r="J30" s="2" t="n">
        <x:f>MAX(0,MIN(G30,12)-MAX(F30,1)+1)/12*H30</x:f>
        <x:v>0</x:v>
      </x:c>
      <x:c r="K30" s="2" t="n">
        <x:f>MAX(0,MIN(G30,24)-MAX(F30,13)+1)/12*H30</x:f>
        <x:v>24</x:v>
      </x:c>
      <x:c r="L30" s="2" t="n">
        <x:f>MAX(0,MIN(G30,36)-MAX(F30,25)+1)/12*H30</x:f>
        <x:v>0</x:v>
      </x:c>
      <x:c r="M30" s="2" t="n">
        <x:f>MAX(0,MIN(G30,48)-MAX(F30,37)+1)/12*H30</x:f>
        <x:v>0</x:v>
      </x:c>
      <x:c r="N30" s="2" t="n">
        <x:f>IF(AND(E30&gt;0,F30&gt;=1,F30&lt;=12),H30,0)</x:f>
        <x:v>0</x:v>
      </x:c>
      <x:c r="O30" s="2" t="n">
        <x:f>IF(AND(E30&gt;0,F30&gt;=13,F30&lt;=24),H30,0)</x:f>
        <x:v>0</x:v>
      </x:c>
      <x:c r="P30" s="2" t="n">
        <x:f>IF(AND(E30&gt;0,F30&gt;=25,F30&lt;=36),H30,0)</x:f>
        <x:v>0</x:v>
      </x:c>
      <x:c r="Q30" s="2" t="n">
        <x:f>IF(AND(E30&gt;0,F30&gt;=37,F30&lt;=48),H30,0)</x:f>
        <x:v>0</x:v>
      </x:c>
      <x:c r="R30" s="2" t="n">
        <x:f>IF(AND(D30&lt;=12,IF(E30=0,D30,F30)&lt;=12,G30&gt;=12),H30,0)</x:f>
        <x:v>24</x:v>
      </x:c>
      <x:c r="S30" s="2" t="n">
        <x:f>IF(AND(D30&lt;=24,IF(E30=0,D30,F30)&lt;=24,G30&gt;=24),H30,0)</x:f>
        <x:v>24</x:v>
      </x:c>
      <x:c r="T30" s="2" t="n">
        <x:f>IF(AND(D30&lt;=36,IF(E30=0,D30,F30)&lt;=36,G30&gt;=36),H30,0)</x:f>
        <x:v>0</x:v>
      </x:c>
      <x:c r="U30" s="2" t="n">
        <x:f>IF(AND(D30&lt;=48,IF(E30=0,D30,F30)&lt;=48,G30&gt;=48),H30,0)</x:f>
        <x:v>0</x:v>
      </x:c>
      <x:c r="V30" s="2" t="n">
        <x:f>MAX(0,MIN(G30,12)-MAX(F30,1)+1)/12*I30</x:f>
        <x:v>0</x:v>
      </x:c>
      <x:c r="W30" s="2" t="n">
        <x:f>MAX(0,MIN(G30,24)-MAX(F30,13)+1)/12*I30</x:f>
        <x:v>7.199999999999999</x:v>
      </x:c>
      <x:c r="X30" s="2" t="n">
        <x:f>MAX(0,MIN(G30,36)-MAX(F30,25)+1)/12*I30</x:f>
        <x:v>0</x:v>
      </x:c>
      <x:c r="Y30" s="2" t="n">
        <x:f>MAX(0,MIN(G30,48)-MAX(F30,37)+1)/12*I30</x:f>
        <x:v>0</x:v>
      </x:c>
    </x:row>
    <x:row r="31" ht="23" customHeight="1">
      <x:c r="A31" s="1"/>
      <x:c r="B31" s="1"/>
      <x:c r="C31" s="1" t="str">
        <x:v>Y1-N01 第2服务年</x:v>
      </x:c>
      <x:c r="D31" s="8" t="n">
        <x:f>'合同排期'!H24</x:f>
        <x:v>6</x:v>
      </x:c>
      <x:c r="E31" s="10" t="n">
        <x:v>1</x:v>
      </x:c>
      <x:c r="F31" s="8" t="n">
        <x:f>'合同排期'!J24+12*E31</x:f>
        <x:v>25</x:v>
      </x:c>
      <x:c r="G31" s="2" t="n">
        <x:f>F31+11</x:f>
        <x:v>36</x:v>
      </x:c>
      <x:c r="H31" s="8" t="n">
        <x:f>'合同排期'!L24*'假设'!D82^E31</x:f>
        <x:v>21.6</x:v>
      </x:c>
      <x:c r="I31" s="8" t="n">
        <x:f>'合同排期'!O24*12*'假设'!D82^E31</x:f>
        <x:v>6.4799999999999995</x:v>
      </x:c>
      <x:c r="J31" s="2" t="n">
        <x:f>MAX(0,MIN(G31,12)-MAX(F31,1)+1)/12*H31</x:f>
        <x:v>0</x:v>
      </x:c>
      <x:c r="K31" s="2" t="n">
        <x:f>MAX(0,MIN(G31,24)-MAX(F31,13)+1)/12*H31</x:f>
        <x:v>0</x:v>
      </x:c>
      <x:c r="L31" s="2" t="n">
        <x:f>MAX(0,MIN(G31,36)-MAX(F31,25)+1)/12*H31</x:f>
        <x:v>21.6</x:v>
      </x:c>
      <x:c r="M31" s="2" t="n">
        <x:f>MAX(0,MIN(G31,48)-MAX(F31,37)+1)/12*H31</x:f>
        <x:v>0</x:v>
      </x:c>
      <x:c r="N31" s="2" t="n">
        <x:f>IF(AND(E31&gt;0,F31&gt;=1,F31&lt;=12),H31,0)</x:f>
        <x:v>0</x:v>
      </x:c>
      <x:c r="O31" s="2" t="n">
        <x:f>IF(AND(E31&gt;0,F31&gt;=13,F31&lt;=24),H31,0)</x:f>
        <x:v>0</x:v>
      </x:c>
      <x:c r="P31" s="2" t="n">
        <x:f>IF(AND(E31&gt;0,F31&gt;=25,F31&lt;=36),H31,0)</x:f>
        <x:v>21.6</x:v>
      </x:c>
      <x:c r="Q31" s="2" t="n">
        <x:f>IF(AND(E31&gt;0,F31&gt;=37,F31&lt;=48),H31,0)</x:f>
        <x:v>0</x:v>
      </x:c>
      <x:c r="R31" s="2" t="n">
        <x:f>IF(AND(D31&lt;=12,IF(E31=0,D31,F31)&lt;=12,G31&gt;=12),H31,0)</x:f>
        <x:v>0</x:v>
      </x:c>
      <x:c r="S31" s="2" t="n">
        <x:f>IF(AND(D31&lt;=24,IF(E31=0,D31,F31)&lt;=24,G31&gt;=24),H31,0)</x:f>
        <x:v>0</x:v>
      </x:c>
      <x:c r="T31" s="2" t="n">
        <x:f>IF(AND(D31&lt;=36,IF(E31=0,D31,F31)&lt;=36,G31&gt;=36),H31,0)</x:f>
        <x:v>21.6</x:v>
      </x:c>
      <x:c r="U31" s="2" t="n">
        <x:f>IF(AND(D31&lt;=48,IF(E31=0,D31,F31)&lt;=48,G31&gt;=48),H31,0)</x:f>
        <x:v>0</x:v>
      </x:c>
      <x:c r="V31" s="2" t="n">
        <x:f>MAX(0,MIN(G31,12)-MAX(F31,1)+1)/12*I31</x:f>
        <x:v>0</x:v>
      </x:c>
      <x:c r="W31" s="2" t="n">
        <x:f>MAX(0,MIN(G31,24)-MAX(F31,13)+1)/12*I31</x:f>
        <x:v>0</x:v>
      </x:c>
      <x:c r="X31" s="2" t="n">
        <x:f>MAX(0,MIN(G31,36)-MAX(F31,25)+1)/12*I31</x:f>
        <x:v>6.4799999999999995</x:v>
      </x:c>
      <x:c r="Y31" s="2" t="n">
        <x:f>MAX(0,MIN(G31,48)-MAX(F31,37)+1)/12*I31</x:f>
        <x:v>0</x:v>
      </x:c>
    </x:row>
    <x:row r="32" ht="23" customHeight="1">
      <x:c r="A32" s="1"/>
      <x:c r="B32" s="1"/>
      <x:c r="C32" s="1" t="str">
        <x:v>Y1-N01 第3服务年</x:v>
      </x:c>
      <x:c r="D32" s="8" t="n">
        <x:f>'合同排期'!H24</x:f>
        <x:v>6</x:v>
      </x:c>
      <x:c r="E32" s="10" t="n">
        <x:v>2</x:v>
      </x:c>
      <x:c r="F32" s="8" t="n">
        <x:f>'合同排期'!J24+12*E32</x:f>
        <x:v>37</x:v>
      </x:c>
      <x:c r="G32" s="2" t="n">
        <x:f>F32+11</x:f>
        <x:v>48</x:v>
      </x:c>
      <x:c r="H32" s="8" t="n">
        <x:f>'合同排期'!L24*'假设'!D82^E32</x:f>
        <x:v>19.44</x:v>
      </x:c>
      <x:c r="I32" s="8" t="n">
        <x:f>'合同排期'!O24*12*'假设'!D82^E32</x:f>
        <x:v>5.832</x:v>
      </x:c>
      <x:c r="J32" s="2" t="n">
        <x:f>MAX(0,MIN(G32,12)-MAX(F32,1)+1)/12*H32</x:f>
        <x:v>0</x:v>
      </x:c>
      <x:c r="K32" s="2" t="n">
        <x:f>MAX(0,MIN(G32,24)-MAX(F32,13)+1)/12*H32</x:f>
        <x:v>0</x:v>
      </x:c>
      <x:c r="L32" s="2" t="n">
        <x:f>MAX(0,MIN(G32,36)-MAX(F32,25)+1)/12*H32</x:f>
        <x:v>0</x:v>
      </x:c>
      <x:c r="M32" s="2" t="n">
        <x:f>MAX(0,MIN(G32,48)-MAX(F32,37)+1)/12*H32</x:f>
        <x:v>19.44</x:v>
      </x:c>
      <x:c r="N32" s="2" t="n">
        <x:f>IF(AND(E32&gt;0,F32&gt;=1,F32&lt;=12),H32,0)</x:f>
        <x:v>0</x:v>
      </x:c>
      <x:c r="O32" s="2" t="n">
        <x:f>IF(AND(E32&gt;0,F32&gt;=13,F32&lt;=24),H32,0)</x:f>
        <x:v>0</x:v>
      </x:c>
      <x:c r="P32" s="2" t="n">
        <x:f>IF(AND(E32&gt;0,F32&gt;=25,F32&lt;=36),H32,0)</x:f>
        <x:v>0</x:v>
      </x:c>
      <x:c r="Q32" s="2" t="n">
        <x:f>IF(AND(E32&gt;0,F32&gt;=37,F32&lt;=48),H32,0)</x:f>
        <x:v>19.44</x:v>
      </x:c>
      <x:c r="R32" s="2" t="n">
        <x:f>IF(AND(D32&lt;=12,IF(E32=0,D32,F32)&lt;=12,G32&gt;=12),H32,0)</x:f>
        <x:v>0</x:v>
      </x:c>
      <x:c r="S32" s="2" t="n">
        <x:f>IF(AND(D32&lt;=24,IF(E32=0,D32,F32)&lt;=24,G32&gt;=24),H32,0)</x:f>
        <x:v>0</x:v>
      </x:c>
      <x:c r="T32" s="2" t="n">
        <x:f>IF(AND(D32&lt;=36,IF(E32=0,D32,F32)&lt;=36,G32&gt;=36),H32,0)</x:f>
        <x:v>0</x:v>
      </x:c>
      <x:c r="U32" s="2" t="n">
        <x:f>IF(AND(D32&lt;=48,IF(E32=0,D32,F32)&lt;=48,G32&gt;=48),H32,0)</x:f>
        <x:v>19.44</x:v>
      </x:c>
      <x:c r="V32" s="2" t="n">
        <x:f>MAX(0,MIN(G32,12)-MAX(F32,1)+1)/12*I32</x:f>
        <x:v>0</x:v>
      </x:c>
      <x:c r="W32" s="2" t="n">
        <x:f>MAX(0,MIN(G32,24)-MAX(F32,13)+1)/12*I32</x:f>
        <x:v>0</x:v>
      </x:c>
      <x:c r="X32" s="2" t="n">
        <x:f>MAX(0,MIN(G32,36)-MAX(F32,25)+1)/12*I32</x:f>
        <x:v>0</x:v>
      </x:c>
      <x:c r="Y32" s="2" t="n">
        <x:f>MAX(0,MIN(G32,48)-MAX(F32,37)+1)/12*I32</x:f>
        <x:v>5.832</x:v>
      </x:c>
    </x:row>
    <x:row r="33" ht="23" customHeight="1">
      <x:c r="A33" s="1"/>
      <x:c r="B33" s="1"/>
      <x:c r="C33" s="1" t="str">
        <x:v>Y1-N01 第4服务年</x:v>
      </x:c>
      <x:c r="D33" s="8" t="n">
        <x:f>'合同排期'!H24</x:f>
        <x:v>6</x:v>
      </x:c>
      <x:c r="E33" s="10" t="n">
        <x:v>3</x:v>
      </x:c>
      <x:c r="F33" s="8" t="n">
        <x:f>'合同排期'!J24+12*E33</x:f>
        <x:v>49</x:v>
      </x:c>
      <x:c r="G33" s="2" t="n">
        <x:f>F33+11</x:f>
        <x:v>60</x:v>
      </x:c>
      <x:c r="H33" s="8" t="n">
        <x:f>'合同排期'!L24*'假设'!D82^E33</x:f>
        <x:v>17.496000000000002</x:v>
      </x:c>
      <x:c r="I33" s="8" t="n">
        <x:f>'合同排期'!O24*12*'假设'!D82^E33</x:f>
        <x:v>5.2488</x:v>
      </x:c>
      <x:c r="J33" s="2" t="n">
        <x:f>MAX(0,MIN(G33,12)-MAX(F33,1)+1)/12*H33</x:f>
        <x:v>0</x:v>
      </x:c>
      <x:c r="K33" s="2" t="n">
        <x:f>MAX(0,MIN(G33,24)-MAX(F33,13)+1)/12*H33</x:f>
        <x:v>0</x:v>
      </x:c>
      <x:c r="L33" s="2" t="n">
        <x:f>MAX(0,MIN(G33,36)-MAX(F33,25)+1)/12*H33</x:f>
        <x:v>0</x:v>
      </x:c>
      <x:c r="M33" s="2" t="n">
        <x:f>MAX(0,MIN(G33,48)-MAX(F33,37)+1)/12*H33</x:f>
        <x:v>0</x:v>
      </x:c>
      <x:c r="N33" s="2" t="n">
        <x:f>IF(AND(E33&gt;0,F33&gt;=1,F33&lt;=12),H33,0)</x:f>
        <x:v>0</x:v>
      </x:c>
      <x:c r="O33" s="2" t="n">
        <x:f>IF(AND(E33&gt;0,F33&gt;=13,F33&lt;=24),H33,0)</x:f>
        <x:v>0</x:v>
      </x:c>
      <x:c r="P33" s="2" t="n">
        <x:f>IF(AND(E33&gt;0,F33&gt;=25,F33&lt;=36),H33,0)</x:f>
        <x:v>0</x:v>
      </x:c>
      <x:c r="Q33" s="2" t="n">
        <x:f>IF(AND(E33&gt;0,F33&gt;=37,F33&lt;=48),H33,0)</x:f>
        <x:v>0</x:v>
      </x:c>
      <x:c r="R33" s="2" t="n">
        <x:f>IF(AND(D33&lt;=12,IF(E33=0,D33,F33)&lt;=12,G33&gt;=12),H33,0)</x:f>
        <x:v>0</x:v>
      </x:c>
      <x:c r="S33" s="2" t="n">
        <x:f>IF(AND(D33&lt;=24,IF(E33=0,D33,F33)&lt;=24,G33&gt;=24),H33,0)</x:f>
        <x:v>0</x:v>
      </x:c>
      <x:c r="T33" s="2" t="n">
        <x:f>IF(AND(D33&lt;=36,IF(E33=0,D33,F33)&lt;=36,G33&gt;=36),H33,0)</x:f>
        <x:v>0</x:v>
      </x:c>
      <x:c r="U33" s="2" t="n">
        <x:f>IF(AND(D33&lt;=48,IF(E33=0,D33,F33)&lt;=48,G33&gt;=48),H33,0)</x:f>
        <x:v>0</x:v>
      </x:c>
      <x:c r="V33" s="2" t="n">
        <x:f>MAX(0,MIN(G33,12)-MAX(F33,1)+1)/12*I33</x:f>
        <x:v>0</x:v>
      </x:c>
      <x:c r="W33" s="2" t="n">
        <x:f>MAX(0,MIN(G33,24)-MAX(F33,13)+1)/12*I33</x:f>
        <x:v>0</x:v>
      </x:c>
      <x:c r="X33" s="2" t="n">
        <x:f>MAX(0,MIN(G33,36)-MAX(F33,25)+1)/12*I33</x:f>
        <x:v>0</x:v>
      </x:c>
      <x:c r="Y33" s="2" t="n">
        <x:f>MAX(0,MIN(G33,48)-MAX(F33,37)+1)/12*I33</x:f>
        <x:v>0</x:v>
      </x:c>
    </x:row>
    <x:row r="34" ht="23" customHeight="1">
      <x:c r="A34" s="1"/>
      <x:c r="B34" s="1"/>
      <x:c r="C34" s="1" t="str">
        <x:v>Y1-N02 第1服务年</x:v>
      </x:c>
      <x:c r="D34" s="8" t="n">
        <x:f>'合同排期'!H25</x:f>
        <x:v>9</x:v>
      </x:c>
      <x:c r="E34" s="10" t="n">
        <x:v>0</x:v>
      </x:c>
      <x:c r="F34" s="8" t="n">
        <x:f>'合同排期'!J25+12*E34</x:f>
        <x:v>16</x:v>
      </x:c>
      <x:c r="G34" s="2" t="n">
        <x:f>F34+11</x:f>
        <x:v>27</x:v>
      </x:c>
      <x:c r="H34" s="8" t="n">
        <x:f>'合同排期'!L25*'假设'!D82^E34</x:f>
        <x:v>0</x:v>
      </x:c>
      <x:c r="I34" s="8" t="n">
        <x:f>'合同排期'!O25*12*'假设'!D82^E34</x:f>
        <x:v>0</x:v>
      </x:c>
      <x:c r="J34" s="2" t="n">
        <x:f>MAX(0,MIN(G34,12)-MAX(F34,1)+1)/12*H34</x:f>
        <x:v>0</x:v>
      </x:c>
      <x:c r="K34" s="2" t="n">
        <x:f>MAX(0,MIN(G34,24)-MAX(F34,13)+1)/12*H34</x:f>
        <x:v>0</x:v>
      </x:c>
      <x:c r="L34" s="2" t="n">
        <x:f>MAX(0,MIN(G34,36)-MAX(F34,25)+1)/12*H34</x:f>
        <x:v>0</x:v>
      </x:c>
      <x:c r="M34" s="2" t="n">
        <x:f>MAX(0,MIN(G34,48)-MAX(F34,37)+1)/12*H34</x:f>
        <x:v>0</x:v>
      </x:c>
      <x:c r="N34" s="2" t="n">
        <x:f>IF(AND(E34&gt;0,F34&gt;=1,F34&lt;=12),H34,0)</x:f>
        <x:v>0</x:v>
      </x:c>
      <x:c r="O34" s="2" t="n">
        <x:f>IF(AND(E34&gt;0,F34&gt;=13,F34&lt;=24),H34,0)</x:f>
        <x:v>0</x:v>
      </x:c>
      <x:c r="P34" s="2" t="n">
        <x:f>IF(AND(E34&gt;0,F34&gt;=25,F34&lt;=36),H34,0)</x:f>
        <x:v>0</x:v>
      </x:c>
      <x:c r="Q34" s="2" t="n">
        <x:f>IF(AND(E34&gt;0,F34&gt;=37,F34&lt;=48),H34,0)</x:f>
        <x:v>0</x:v>
      </x:c>
      <x:c r="R34" s="2" t="n">
        <x:f>IF(AND(D34&lt;=12,IF(E34=0,D34,F34)&lt;=12,G34&gt;=12),H34,0)</x:f>
        <x:v>0</x:v>
      </x:c>
      <x:c r="S34" s="2" t="n">
        <x:f>IF(AND(D34&lt;=24,IF(E34=0,D34,F34)&lt;=24,G34&gt;=24),H34,0)</x:f>
        <x:v>0</x:v>
      </x:c>
      <x:c r="T34" s="2" t="n">
        <x:f>IF(AND(D34&lt;=36,IF(E34=0,D34,F34)&lt;=36,G34&gt;=36),H34,0)</x:f>
        <x:v>0</x:v>
      </x:c>
      <x:c r="U34" s="2" t="n">
        <x:f>IF(AND(D34&lt;=48,IF(E34=0,D34,F34)&lt;=48,G34&gt;=48),H34,0)</x:f>
        <x:v>0</x:v>
      </x:c>
      <x:c r="V34" s="2" t="n">
        <x:f>MAX(0,MIN(G34,12)-MAX(F34,1)+1)/12*I34</x:f>
        <x:v>0</x:v>
      </x:c>
      <x:c r="W34" s="2" t="n">
        <x:f>MAX(0,MIN(G34,24)-MAX(F34,13)+1)/12*I34</x:f>
        <x:v>0</x:v>
      </x:c>
      <x:c r="X34" s="2" t="n">
        <x:f>MAX(0,MIN(G34,36)-MAX(F34,25)+1)/12*I34</x:f>
        <x:v>0</x:v>
      </x:c>
      <x:c r="Y34" s="2" t="n">
        <x:f>MAX(0,MIN(G34,48)-MAX(F34,37)+1)/12*I34</x:f>
        <x:v>0</x:v>
      </x:c>
    </x:row>
    <x:row r="35" ht="23" customHeight="1">
      <x:c r="A35" s="1"/>
      <x:c r="B35" s="1"/>
      <x:c r="C35" s="1" t="str">
        <x:v>Y1-N02 第2服务年</x:v>
      </x:c>
      <x:c r="D35" s="8" t="n">
        <x:f>'合同排期'!H25</x:f>
        <x:v>9</x:v>
      </x:c>
      <x:c r="E35" s="10" t="n">
        <x:v>1</x:v>
      </x:c>
      <x:c r="F35" s="8" t="n">
        <x:f>'合同排期'!J25+12*E35</x:f>
        <x:v>28</x:v>
      </x:c>
      <x:c r="G35" s="2" t="n">
        <x:f>F35+11</x:f>
        <x:v>39</x:v>
      </x:c>
      <x:c r="H35" s="8" t="n">
        <x:f>'合同排期'!L25*'假设'!D82^E35</x:f>
        <x:v>0</x:v>
      </x:c>
      <x:c r="I35" s="8" t="n">
        <x:f>'合同排期'!O25*12*'假设'!D82^E35</x:f>
        <x:v>0</x:v>
      </x:c>
      <x:c r="J35" s="2" t="n">
        <x:f>MAX(0,MIN(G35,12)-MAX(F35,1)+1)/12*H35</x:f>
        <x:v>0</x:v>
      </x:c>
      <x:c r="K35" s="2" t="n">
        <x:f>MAX(0,MIN(G35,24)-MAX(F35,13)+1)/12*H35</x:f>
        <x:v>0</x:v>
      </x:c>
      <x:c r="L35" s="2" t="n">
        <x:f>MAX(0,MIN(G35,36)-MAX(F35,25)+1)/12*H35</x:f>
        <x:v>0</x:v>
      </x:c>
      <x:c r="M35" s="2" t="n">
        <x:f>MAX(0,MIN(G35,48)-MAX(F35,37)+1)/12*H35</x:f>
        <x:v>0</x:v>
      </x:c>
      <x:c r="N35" s="2" t="n">
        <x:f>IF(AND(E35&gt;0,F35&gt;=1,F35&lt;=12),H35,0)</x:f>
        <x:v>0</x:v>
      </x:c>
      <x:c r="O35" s="2" t="n">
        <x:f>IF(AND(E35&gt;0,F35&gt;=13,F35&lt;=24),H35,0)</x:f>
        <x:v>0</x:v>
      </x:c>
      <x:c r="P35" s="2" t="n">
        <x:f>IF(AND(E35&gt;0,F35&gt;=25,F35&lt;=36),H35,0)</x:f>
        <x:v>0</x:v>
      </x:c>
      <x:c r="Q35" s="2" t="n">
        <x:f>IF(AND(E35&gt;0,F35&gt;=37,F35&lt;=48),H35,0)</x:f>
        <x:v>0</x:v>
      </x:c>
      <x:c r="R35" s="2" t="n">
        <x:f>IF(AND(D35&lt;=12,IF(E35=0,D35,F35)&lt;=12,G35&gt;=12),H35,0)</x:f>
        <x:v>0</x:v>
      </x:c>
      <x:c r="S35" s="2" t="n">
        <x:f>IF(AND(D35&lt;=24,IF(E35=0,D35,F35)&lt;=24,G35&gt;=24),H35,0)</x:f>
        <x:v>0</x:v>
      </x:c>
      <x:c r="T35" s="2" t="n">
        <x:f>IF(AND(D35&lt;=36,IF(E35=0,D35,F35)&lt;=36,G35&gt;=36),H35,0)</x:f>
        <x:v>0</x:v>
      </x:c>
      <x:c r="U35" s="2" t="n">
        <x:f>IF(AND(D35&lt;=48,IF(E35=0,D35,F35)&lt;=48,G35&gt;=48),H35,0)</x:f>
        <x:v>0</x:v>
      </x:c>
      <x:c r="V35" s="2" t="n">
        <x:f>MAX(0,MIN(G35,12)-MAX(F35,1)+1)/12*I35</x:f>
        <x:v>0</x:v>
      </x:c>
      <x:c r="W35" s="2" t="n">
        <x:f>MAX(0,MIN(G35,24)-MAX(F35,13)+1)/12*I35</x:f>
        <x:v>0</x:v>
      </x:c>
      <x:c r="X35" s="2" t="n">
        <x:f>MAX(0,MIN(G35,36)-MAX(F35,25)+1)/12*I35</x:f>
        <x:v>0</x:v>
      </x:c>
      <x:c r="Y35" s="2" t="n">
        <x:f>MAX(0,MIN(G35,48)-MAX(F35,37)+1)/12*I35</x:f>
        <x:v>0</x:v>
      </x:c>
    </x:row>
    <x:row r="36" ht="23" customHeight="1">
      <x:c r="A36" s="1"/>
      <x:c r="B36" s="1"/>
      <x:c r="C36" s="1" t="str">
        <x:v>Y1-N02 第3服务年</x:v>
      </x:c>
      <x:c r="D36" s="8" t="n">
        <x:f>'合同排期'!H25</x:f>
        <x:v>9</x:v>
      </x:c>
      <x:c r="E36" s="10" t="n">
        <x:v>2</x:v>
      </x:c>
      <x:c r="F36" s="8" t="n">
        <x:f>'合同排期'!J25+12*E36</x:f>
        <x:v>40</x:v>
      </x:c>
      <x:c r="G36" s="2" t="n">
        <x:f>F36+11</x:f>
        <x:v>51</x:v>
      </x:c>
      <x:c r="H36" s="8" t="n">
        <x:f>'合同排期'!L25*'假设'!D82^E36</x:f>
        <x:v>0</x:v>
      </x:c>
      <x:c r="I36" s="8" t="n">
        <x:f>'合同排期'!O25*12*'假设'!D82^E36</x:f>
        <x:v>0</x:v>
      </x:c>
      <x:c r="J36" s="2" t="n">
        <x:f>MAX(0,MIN(G36,12)-MAX(F36,1)+1)/12*H36</x:f>
        <x:v>0</x:v>
      </x:c>
      <x:c r="K36" s="2" t="n">
        <x:f>MAX(0,MIN(G36,24)-MAX(F36,13)+1)/12*H36</x:f>
        <x:v>0</x:v>
      </x:c>
      <x:c r="L36" s="2" t="n">
        <x:f>MAX(0,MIN(G36,36)-MAX(F36,25)+1)/12*H36</x:f>
        <x:v>0</x:v>
      </x:c>
      <x:c r="M36" s="2" t="n">
        <x:f>MAX(0,MIN(G36,48)-MAX(F36,37)+1)/12*H36</x:f>
        <x:v>0</x:v>
      </x:c>
      <x:c r="N36" s="2" t="n">
        <x:f>IF(AND(E36&gt;0,F36&gt;=1,F36&lt;=12),H36,0)</x:f>
        <x:v>0</x:v>
      </x:c>
      <x:c r="O36" s="2" t="n">
        <x:f>IF(AND(E36&gt;0,F36&gt;=13,F36&lt;=24),H36,0)</x:f>
        <x:v>0</x:v>
      </x:c>
      <x:c r="P36" s="2" t="n">
        <x:f>IF(AND(E36&gt;0,F36&gt;=25,F36&lt;=36),H36,0)</x:f>
        <x:v>0</x:v>
      </x:c>
      <x:c r="Q36" s="2" t="n">
        <x:f>IF(AND(E36&gt;0,F36&gt;=37,F36&lt;=48),H36,0)</x:f>
        <x:v>0</x:v>
      </x:c>
      <x:c r="R36" s="2" t="n">
        <x:f>IF(AND(D36&lt;=12,IF(E36=0,D36,F36)&lt;=12,G36&gt;=12),H36,0)</x:f>
        <x:v>0</x:v>
      </x:c>
      <x:c r="S36" s="2" t="n">
        <x:f>IF(AND(D36&lt;=24,IF(E36=0,D36,F36)&lt;=24,G36&gt;=24),H36,0)</x:f>
        <x:v>0</x:v>
      </x:c>
      <x:c r="T36" s="2" t="n">
        <x:f>IF(AND(D36&lt;=36,IF(E36=0,D36,F36)&lt;=36,G36&gt;=36),H36,0)</x:f>
        <x:v>0</x:v>
      </x:c>
      <x:c r="U36" s="2" t="n">
        <x:f>IF(AND(D36&lt;=48,IF(E36=0,D36,F36)&lt;=48,G36&gt;=48),H36,0)</x:f>
        <x:v>0</x:v>
      </x:c>
      <x:c r="V36" s="2" t="n">
        <x:f>MAX(0,MIN(G36,12)-MAX(F36,1)+1)/12*I36</x:f>
        <x:v>0</x:v>
      </x:c>
      <x:c r="W36" s="2" t="n">
        <x:f>MAX(0,MIN(G36,24)-MAX(F36,13)+1)/12*I36</x:f>
        <x:v>0</x:v>
      </x:c>
      <x:c r="X36" s="2" t="n">
        <x:f>MAX(0,MIN(G36,36)-MAX(F36,25)+1)/12*I36</x:f>
        <x:v>0</x:v>
      </x:c>
      <x:c r="Y36" s="2" t="n">
        <x:f>MAX(0,MIN(G36,48)-MAX(F36,37)+1)/12*I36</x:f>
        <x:v>0</x:v>
      </x:c>
    </x:row>
    <x:row r="37" ht="23" customHeight="1">
      <x:c r="A37" s="1"/>
      <x:c r="B37" s="1"/>
      <x:c r="C37" s="1" t="str">
        <x:v>Y1-N02 第4服务年</x:v>
      </x:c>
      <x:c r="D37" s="8" t="n">
        <x:f>'合同排期'!H25</x:f>
        <x:v>9</x:v>
      </x:c>
      <x:c r="E37" s="10" t="n">
        <x:v>3</x:v>
      </x:c>
      <x:c r="F37" s="8" t="n">
        <x:f>'合同排期'!J25+12*E37</x:f>
        <x:v>52</x:v>
      </x:c>
      <x:c r="G37" s="2" t="n">
        <x:f>F37+11</x:f>
        <x:v>63</x:v>
      </x:c>
      <x:c r="H37" s="8" t="n">
        <x:f>'合同排期'!L25*'假设'!D82^E37</x:f>
        <x:v>0</x:v>
      </x:c>
      <x:c r="I37" s="8" t="n">
        <x:f>'合同排期'!O25*12*'假设'!D82^E37</x:f>
        <x:v>0</x:v>
      </x:c>
      <x:c r="J37" s="2" t="n">
        <x:f>MAX(0,MIN(G37,12)-MAX(F37,1)+1)/12*H37</x:f>
        <x:v>0</x:v>
      </x:c>
      <x:c r="K37" s="2" t="n">
        <x:f>MAX(0,MIN(G37,24)-MAX(F37,13)+1)/12*H37</x:f>
        <x:v>0</x:v>
      </x:c>
      <x:c r="L37" s="2" t="n">
        <x:f>MAX(0,MIN(G37,36)-MAX(F37,25)+1)/12*H37</x:f>
        <x:v>0</x:v>
      </x:c>
      <x:c r="M37" s="2" t="n">
        <x:f>MAX(0,MIN(G37,48)-MAX(F37,37)+1)/12*H37</x:f>
        <x:v>0</x:v>
      </x:c>
      <x:c r="N37" s="2" t="n">
        <x:f>IF(AND(E37&gt;0,F37&gt;=1,F37&lt;=12),H37,0)</x:f>
        <x:v>0</x:v>
      </x:c>
      <x:c r="O37" s="2" t="n">
        <x:f>IF(AND(E37&gt;0,F37&gt;=13,F37&lt;=24),H37,0)</x:f>
        <x:v>0</x:v>
      </x:c>
      <x:c r="P37" s="2" t="n">
        <x:f>IF(AND(E37&gt;0,F37&gt;=25,F37&lt;=36),H37,0)</x:f>
        <x:v>0</x:v>
      </x:c>
      <x:c r="Q37" s="2" t="n">
        <x:f>IF(AND(E37&gt;0,F37&gt;=37,F37&lt;=48),H37,0)</x:f>
        <x:v>0</x:v>
      </x:c>
      <x:c r="R37" s="2" t="n">
        <x:f>IF(AND(D37&lt;=12,IF(E37=0,D37,F37)&lt;=12,G37&gt;=12),H37,0)</x:f>
        <x:v>0</x:v>
      </x:c>
      <x:c r="S37" s="2" t="n">
        <x:f>IF(AND(D37&lt;=24,IF(E37=0,D37,F37)&lt;=24,G37&gt;=24),H37,0)</x:f>
        <x:v>0</x:v>
      </x:c>
      <x:c r="T37" s="2" t="n">
        <x:f>IF(AND(D37&lt;=36,IF(E37=0,D37,F37)&lt;=36,G37&gt;=36),H37,0)</x:f>
        <x:v>0</x:v>
      </x:c>
      <x:c r="U37" s="2" t="n">
        <x:f>IF(AND(D37&lt;=48,IF(E37=0,D37,F37)&lt;=48,G37&gt;=48),H37,0)</x:f>
        <x:v>0</x:v>
      </x:c>
      <x:c r="V37" s="2" t="n">
        <x:f>MAX(0,MIN(G37,12)-MAX(F37,1)+1)/12*I37</x:f>
        <x:v>0</x:v>
      </x:c>
      <x:c r="W37" s="2" t="n">
        <x:f>MAX(0,MIN(G37,24)-MAX(F37,13)+1)/12*I37</x:f>
        <x:v>0</x:v>
      </x:c>
      <x:c r="X37" s="2" t="n">
        <x:f>MAX(0,MIN(G37,36)-MAX(F37,25)+1)/12*I37</x:f>
        <x:v>0</x:v>
      </x:c>
      <x:c r="Y37" s="2" t="n">
        <x:f>MAX(0,MIN(G37,48)-MAX(F37,37)+1)/12*I37</x:f>
        <x:v>0</x:v>
      </x:c>
    </x:row>
    <x:row r="38" ht="23" customHeight="1">
      <x:c r="A38" s="1"/>
      <x:c r="B38" s="1"/>
      <x:c r="C38" s="1" t="str">
        <x:v>Y2-E合计 第1服务年</x:v>
      </x:c>
      <x:c r="D38" s="2" t="n">
        <x:f>13</x:f>
        <x:v>13</x:v>
      </x:c>
      <x:c r="E38" s="10" t="n">
        <x:v>0</x:v>
      </x:c>
      <x:c r="F38" s="2" t="n">
        <x:f>19+12*E38</x:f>
        <x:v>19</x:v>
      </x:c>
      <x:c r="G38" s="2" t="n">
        <x:f>F38+11</x:f>
        <x:v>30</x:v>
      </x:c>
      <x:c r="H38" s="8" t="n">
        <x:f>'假设'!D92*'项目单价'!E7*'假设'!D52*'假设'!D82^E38</x:f>
        <x:v>72</x:v>
      </x:c>
      <x:c r="I38" s="8" t="n">
        <x:f>'假设'!D92*'项目单价'!L7*12*'假设'!D57*'假设'!D82^E38</x:f>
        <x:v>21.599999999999998</x:v>
      </x:c>
      <x:c r="J38" s="2" t="n">
        <x:f>MAX(0,MIN(G38,12)-MAX(F38,1)+1)/12*H38</x:f>
        <x:v>0</x:v>
      </x:c>
      <x:c r="K38" s="2" t="n">
        <x:f>MAX(0,MIN(G38,24)-MAX(F38,13)+1)/12*H38</x:f>
        <x:v>36</x:v>
      </x:c>
      <x:c r="L38" s="2" t="n">
        <x:f>MAX(0,MIN(G38,36)-MAX(F38,25)+1)/12*H38</x:f>
        <x:v>36</x:v>
      </x:c>
      <x:c r="M38" s="2" t="n">
        <x:f>MAX(0,MIN(G38,48)-MAX(F38,37)+1)/12*H38</x:f>
        <x:v>0</x:v>
      </x:c>
      <x:c r="N38" s="2" t="n">
        <x:f>IF(AND(E38&gt;0,F38&gt;=1,F38&lt;=12),H38,0)</x:f>
        <x:v>0</x:v>
      </x:c>
      <x:c r="O38" s="2" t="n">
        <x:f>IF(AND(E38&gt;0,F38&gt;=13,F38&lt;=24),H38,0)</x:f>
        <x:v>0</x:v>
      </x:c>
      <x:c r="P38" s="2" t="n">
        <x:f>IF(AND(E38&gt;0,F38&gt;=25,F38&lt;=36),H38,0)</x:f>
        <x:v>0</x:v>
      </x:c>
      <x:c r="Q38" s="2" t="n">
        <x:f>IF(AND(E38&gt;0,F38&gt;=37,F38&lt;=48),H38,0)</x:f>
        <x:v>0</x:v>
      </x:c>
      <x:c r="R38" s="2" t="n">
        <x:f>IF(AND(D38&lt;=12,IF(E38=0,D38,F38)&lt;=12,G38&gt;=12),H38,0)</x:f>
        <x:v>0</x:v>
      </x:c>
      <x:c r="S38" s="2" t="n">
        <x:f>IF(AND(D38&lt;=24,IF(E38=0,D38,F38)&lt;=24,G38&gt;=24),H38,0)</x:f>
        <x:v>72</x:v>
      </x:c>
      <x:c r="T38" s="2" t="n">
        <x:f>IF(AND(D38&lt;=36,IF(E38=0,D38,F38)&lt;=36,G38&gt;=36),H38,0)</x:f>
        <x:v>0</x:v>
      </x:c>
      <x:c r="U38" s="2" t="n">
        <x:f>IF(AND(D38&lt;=48,IF(E38=0,D38,F38)&lt;=48,G38&gt;=48),H38,0)</x:f>
        <x:v>0</x:v>
      </x:c>
      <x:c r="V38" s="2" t="n">
        <x:f>MAX(0,MIN(G38,12)-MAX(F38,1)+1)/12*I38</x:f>
        <x:v>0</x:v>
      </x:c>
      <x:c r="W38" s="2" t="n">
        <x:f>MAX(0,MIN(G38,24)-MAX(F38,13)+1)/12*I38</x:f>
        <x:v>10.799999999999999</x:v>
      </x:c>
      <x:c r="X38" s="2" t="n">
        <x:f>MAX(0,MIN(G38,36)-MAX(F38,25)+1)/12*I38</x:f>
        <x:v>10.799999999999999</x:v>
      </x:c>
      <x:c r="Y38" s="2" t="n">
        <x:f>MAX(0,MIN(G38,48)-MAX(F38,37)+1)/12*I38</x:f>
        <x:v>0</x:v>
      </x:c>
    </x:row>
    <x:row r="39" ht="23" customHeight="1">
      <x:c r="A39" s="1"/>
      <x:c r="B39" s="1"/>
      <x:c r="C39" s="1" t="str">
        <x:v>Y2-E合计 第2服务年</x:v>
      </x:c>
      <x:c r="D39" s="2" t="n">
        <x:f>13</x:f>
        <x:v>13</x:v>
      </x:c>
      <x:c r="E39" s="10" t="n">
        <x:v>1</x:v>
      </x:c>
      <x:c r="F39" s="2" t="n">
        <x:f>19+12*E39</x:f>
        <x:v>31</x:v>
      </x:c>
      <x:c r="G39" s="2" t="n">
        <x:f>F39+11</x:f>
        <x:v>42</x:v>
      </x:c>
      <x:c r="H39" s="8" t="n">
        <x:f>'假设'!D92*'项目单价'!E7*'假设'!D52*'假设'!D82^E39</x:f>
        <x:v>64.8</x:v>
      </x:c>
      <x:c r="I39" s="8" t="n">
        <x:f>'假设'!D92*'项目单价'!L7*12*'假设'!D57*'假设'!D82^E39</x:f>
        <x:v>19.439999999999998</x:v>
      </x:c>
      <x:c r="J39" s="2" t="n">
        <x:f>MAX(0,MIN(G39,12)-MAX(F39,1)+1)/12*H39</x:f>
        <x:v>0</x:v>
      </x:c>
      <x:c r="K39" s="2" t="n">
        <x:f>MAX(0,MIN(G39,24)-MAX(F39,13)+1)/12*H39</x:f>
        <x:v>0</x:v>
      </x:c>
      <x:c r="L39" s="2" t="n">
        <x:f>MAX(0,MIN(G39,36)-MAX(F39,25)+1)/12*H39</x:f>
        <x:v>32.4</x:v>
      </x:c>
      <x:c r="M39" s="2" t="n">
        <x:f>MAX(0,MIN(G39,48)-MAX(F39,37)+1)/12*H39</x:f>
        <x:v>32.4</x:v>
      </x:c>
      <x:c r="N39" s="2" t="n">
        <x:f>IF(AND(E39&gt;0,F39&gt;=1,F39&lt;=12),H39,0)</x:f>
        <x:v>0</x:v>
      </x:c>
      <x:c r="O39" s="2" t="n">
        <x:f>IF(AND(E39&gt;0,F39&gt;=13,F39&lt;=24),H39,0)</x:f>
        <x:v>0</x:v>
      </x:c>
      <x:c r="P39" s="2" t="n">
        <x:f>IF(AND(E39&gt;0,F39&gt;=25,F39&lt;=36),H39,0)</x:f>
        <x:v>64.8</x:v>
      </x:c>
      <x:c r="Q39" s="2" t="n">
        <x:f>IF(AND(E39&gt;0,F39&gt;=37,F39&lt;=48),H39,0)</x:f>
        <x:v>0</x:v>
      </x:c>
      <x:c r="R39" s="2" t="n">
        <x:f>IF(AND(D39&lt;=12,IF(E39=0,D39,F39)&lt;=12,G39&gt;=12),H39,0)</x:f>
        <x:v>0</x:v>
      </x:c>
      <x:c r="S39" s="2" t="n">
        <x:f>IF(AND(D39&lt;=24,IF(E39=0,D39,F39)&lt;=24,G39&gt;=24),H39,0)</x:f>
        <x:v>0</x:v>
      </x:c>
      <x:c r="T39" s="2" t="n">
        <x:f>IF(AND(D39&lt;=36,IF(E39=0,D39,F39)&lt;=36,G39&gt;=36),H39,0)</x:f>
        <x:v>64.8</x:v>
      </x:c>
      <x:c r="U39" s="2" t="n">
        <x:f>IF(AND(D39&lt;=48,IF(E39=0,D39,F39)&lt;=48,G39&gt;=48),H39,0)</x:f>
        <x:v>0</x:v>
      </x:c>
      <x:c r="V39" s="2" t="n">
        <x:f>MAX(0,MIN(G39,12)-MAX(F39,1)+1)/12*I39</x:f>
        <x:v>0</x:v>
      </x:c>
      <x:c r="W39" s="2" t="n">
        <x:f>MAX(0,MIN(G39,24)-MAX(F39,13)+1)/12*I39</x:f>
        <x:v>0</x:v>
      </x:c>
      <x:c r="X39" s="2" t="n">
        <x:f>MAX(0,MIN(G39,36)-MAX(F39,25)+1)/12*I39</x:f>
        <x:v>9.719999999999999</x:v>
      </x:c>
      <x:c r="Y39" s="2" t="n">
        <x:f>MAX(0,MIN(G39,48)-MAX(F39,37)+1)/12*I39</x:f>
        <x:v>9.719999999999999</x:v>
      </x:c>
    </x:row>
    <x:row r="40" ht="23" customHeight="1">
      <x:c r="A40" s="1"/>
      <x:c r="B40" s="1"/>
      <x:c r="C40" s="1" t="str">
        <x:v>Y2-E合计 第3服务年</x:v>
      </x:c>
      <x:c r="D40" s="2" t="n">
        <x:f>13</x:f>
        <x:v>13</x:v>
      </x:c>
      <x:c r="E40" s="10" t="n">
        <x:v>2</x:v>
      </x:c>
      <x:c r="F40" s="2" t="n">
        <x:f>19+12*E40</x:f>
        <x:v>43</x:v>
      </x:c>
      <x:c r="G40" s="2" t="n">
        <x:f>F40+11</x:f>
        <x:v>54</x:v>
      </x:c>
      <x:c r="H40" s="8" t="n">
        <x:f>'假设'!D92*'项目单价'!E7*'假设'!D52*'假设'!D82^E40</x:f>
        <x:v>58.32000000000001</x:v>
      </x:c>
      <x:c r="I40" s="8" t="n">
        <x:f>'假设'!D92*'项目单价'!L7*12*'假设'!D57*'假设'!D82^E40</x:f>
        <x:v>17.496</x:v>
      </x:c>
      <x:c r="J40" s="2" t="n">
        <x:f>MAX(0,MIN(G40,12)-MAX(F40,1)+1)/12*H40</x:f>
        <x:v>0</x:v>
      </x:c>
      <x:c r="K40" s="2" t="n">
        <x:f>MAX(0,MIN(G40,24)-MAX(F40,13)+1)/12*H40</x:f>
        <x:v>0</x:v>
      </x:c>
      <x:c r="L40" s="2" t="n">
        <x:f>MAX(0,MIN(G40,36)-MAX(F40,25)+1)/12*H40</x:f>
        <x:v>0</x:v>
      </x:c>
      <x:c r="M40" s="2" t="n">
        <x:f>MAX(0,MIN(G40,48)-MAX(F40,37)+1)/12*H40</x:f>
        <x:v>29.160000000000004</x:v>
      </x:c>
      <x:c r="N40" s="2" t="n">
        <x:f>IF(AND(E40&gt;0,F40&gt;=1,F40&lt;=12),H40,0)</x:f>
        <x:v>0</x:v>
      </x:c>
      <x:c r="O40" s="2" t="n">
        <x:f>IF(AND(E40&gt;0,F40&gt;=13,F40&lt;=24),H40,0)</x:f>
        <x:v>0</x:v>
      </x:c>
      <x:c r="P40" s="2" t="n">
        <x:f>IF(AND(E40&gt;0,F40&gt;=25,F40&lt;=36),H40,0)</x:f>
        <x:v>0</x:v>
      </x:c>
      <x:c r="Q40" s="2" t="n">
        <x:f>IF(AND(E40&gt;0,F40&gt;=37,F40&lt;=48),H40,0)</x:f>
        <x:v>58.32000000000001</x:v>
      </x:c>
      <x:c r="R40" s="2" t="n">
        <x:f>IF(AND(D40&lt;=12,IF(E40=0,D40,F40)&lt;=12,G40&gt;=12),H40,0)</x:f>
        <x:v>0</x:v>
      </x:c>
      <x:c r="S40" s="2" t="n">
        <x:f>IF(AND(D40&lt;=24,IF(E40=0,D40,F40)&lt;=24,G40&gt;=24),H40,0)</x:f>
        <x:v>0</x:v>
      </x:c>
      <x:c r="T40" s="2" t="n">
        <x:f>IF(AND(D40&lt;=36,IF(E40=0,D40,F40)&lt;=36,G40&gt;=36),H40,0)</x:f>
        <x:v>0</x:v>
      </x:c>
      <x:c r="U40" s="2" t="n">
        <x:f>IF(AND(D40&lt;=48,IF(E40=0,D40,F40)&lt;=48,G40&gt;=48),H40,0)</x:f>
        <x:v>58.32000000000001</x:v>
      </x:c>
      <x:c r="V40" s="2" t="n">
        <x:f>MAX(0,MIN(G40,12)-MAX(F40,1)+1)/12*I40</x:f>
        <x:v>0</x:v>
      </x:c>
      <x:c r="W40" s="2" t="n">
        <x:f>MAX(0,MIN(G40,24)-MAX(F40,13)+1)/12*I40</x:f>
        <x:v>0</x:v>
      </x:c>
      <x:c r="X40" s="2" t="n">
        <x:f>MAX(0,MIN(G40,36)-MAX(F40,25)+1)/12*I40</x:f>
        <x:v>0</x:v>
      </x:c>
      <x:c r="Y40" s="2" t="n">
        <x:f>MAX(0,MIN(G40,48)-MAX(F40,37)+1)/12*I40</x:f>
        <x:v>8.748</x:v>
      </x:c>
    </x:row>
    <x:row r="41" ht="23" customHeight="1">
      <x:c r="A41" s="1"/>
      <x:c r="B41" s="1"/>
      <x:c r="C41" s="1" t="str">
        <x:v>Y2-E合计 第4服务年</x:v>
      </x:c>
      <x:c r="D41" s="2" t="n">
        <x:f>13</x:f>
        <x:v>13</x:v>
      </x:c>
      <x:c r="E41" s="10" t="n">
        <x:v>3</x:v>
      </x:c>
      <x:c r="F41" s="2" t="n">
        <x:f>19+12*E41</x:f>
        <x:v>55</x:v>
      </x:c>
      <x:c r="G41" s="2" t="n">
        <x:f>F41+11</x:f>
        <x:v>66</x:v>
      </x:c>
      <x:c r="H41" s="8" t="n">
        <x:f>'假设'!D92*'项目单价'!E7*'假设'!D52*'假设'!D82^E41</x:f>
        <x:v>52.48800000000001</x:v>
      </x:c>
      <x:c r="I41" s="8" t="n">
        <x:f>'假设'!D92*'项目单价'!L7*12*'假设'!D57*'假设'!D82^E41</x:f>
        <x:v>15.746400000000001</x:v>
      </x:c>
      <x:c r="J41" s="2" t="n">
        <x:f>MAX(0,MIN(G41,12)-MAX(F41,1)+1)/12*H41</x:f>
        <x:v>0</x:v>
      </x:c>
      <x:c r="K41" s="2" t="n">
        <x:f>MAX(0,MIN(G41,24)-MAX(F41,13)+1)/12*H41</x:f>
        <x:v>0</x:v>
      </x:c>
      <x:c r="L41" s="2" t="n">
        <x:f>MAX(0,MIN(G41,36)-MAX(F41,25)+1)/12*H41</x:f>
        <x:v>0</x:v>
      </x:c>
      <x:c r="M41" s="2" t="n">
        <x:f>MAX(0,MIN(G41,48)-MAX(F41,37)+1)/12*H41</x:f>
        <x:v>0</x:v>
      </x:c>
      <x:c r="N41" s="2" t="n">
        <x:f>IF(AND(E41&gt;0,F41&gt;=1,F41&lt;=12),H41,0)</x:f>
        <x:v>0</x:v>
      </x:c>
      <x:c r="O41" s="2" t="n">
        <x:f>IF(AND(E41&gt;0,F41&gt;=13,F41&lt;=24),H41,0)</x:f>
        <x:v>0</x:v>
      </x:c>
      <x:c r="P41" s="2" t="n">
        <x:f>IF(AND(E41&gt;0,F41&gt;=25,F41&lt;=36),H41,0)</x:f>
        <x:v>0</x:v>
      </x:c>
      <x:c r="Q41" s="2" t="n">
        <x:f>IF(AND(E41&gt;0,F41&gt;=37,F41&lt;=48),H41,0)</x:f>
        <x:v>0</x:v>
      </x:c>
      <x:c r="R41" s="2" t="n">
        <x:f>IF(AND(D41&lt;=12,IF(E41=0,D41,F41)&lt;=12,G41&gt;=12),H41,0)</x:f>
        <x:v>0</x:v>
      </x:c>
      <x:c r="S41" s="2" t="n">
        <x:f>IF(AND(D41&lt;=24,IF(E41=0,D41,F41)&lt;=24,G41&gt;=24),H41,0)</x:f>
        <x:v>0</x:v>
      </x:c>
      <x:c r="T41" s="2" t="n">
        <x:f>IF(AND(D41&lt;=36,IF(E41=0,D41,F41)&lt;=36,G41&gt;=36),H41,0)</x:f>
        <x:v>0</x:v>
      </x:c>
      <x:c r="U41" s="2" t="n">
        <x:f>IF(AND(D41&lt;=48,IF(E41=0,D41,F41)&lt;=48,G41&gt;=48),H41,0)</x:f>
        <x:v>0</x:v>
      </x:c>
      <x:c r="V41" s="2" t="n">
        <x:f>MAX(0,MIN(G41,12)-MAX(F41,1)+1)/12*I41</x:f>
        <x:v>0</x:v>
      </x:c>
      <x:c r="W41" s="2" t="n">
        <x:f>MAX(0,MIN(G41,24)-MAX(F41,13)+1)/12*I41</x:f>
        <x:v>0</x:v>
      </x:c>
      <x:c r="X41" s="2" t="n">
        <x:f>MAX(0,MIN(G41,36)-MAX(F41,25)+1)/12*I41</x:f>
        <x:v>0</x:v>
      </x:c>
      <x:c r="Y41" s="2" t="n">
        <x:f>MAX(0,MIN(G41,48)-MAX(F41,37)+1)/12*I41</x:f>
        <x:v>0</x:v>
      </x:c>
    </x:row>
    <x:row r="42" ht="23" customHeight="1">
      <x:c r="A42" s="1"/>
      <x:c r="B42" s="1"/>
      <x:c r="C42" s="1" t="str">
        <x:v>Y2-N合计 第1服务年</x:v>
      </x:c>
      <x:c r="D42" s="2" t="n">
        <x:f>13</x:f>
        <x:v>13</x:v>
      </x:c>
      <x:c r="E42" s="10" t="n">
        <x:v>0</x:v>
      </x:c>
      <x:c r="F42" s="2" t="n">
        <x:f>19+12*E42</x:f>
        <x:v>19</x:v>
      </x:c>
      <x:c r="G42" s="2" t="n">
        <x:f>F42+11</x:f>
        <x:v>30</x:v>
      </x:c>
      <x:c r="H42" s="8" t="n">
        <x:f>'假设'!D97*'项目单价'!E8*'假设'!D52*'假设'!D82^E42</x:f>
        <x:v>24</x:v>
      </x:c>
      <x:c r="I42" s="8" t="n">
        <x:f>'假设'!D97*'项目单价'!L8*12*'假设'!D57*'假设'!D82^E42</x:f>
        <x:v>7.199999999999999</x:v>
      </x:c>
      <x:c r="J42" s="2" t="n">
        <x:f>MAX(0,MIN(G42,12)-MAX(F42,1)+1)/12*H42</x:f>
        <x:v>0</x:v>
      </x:c>
      <x:c r="K42" s="2" t="n">
        <x:f>MAX(0,MIN(G42,24)-MAX(F42,13)+1)/12*H42</x:f>
        <x:v>12</x:v>
      </x:c>
      <x:c r="L42" s="2" t="n">
        <x:f>MAX(0,MIN(G42,36)-MAX(F42,25)+1)/12*H42</x:f>
        <x:v>12</x:v>
      </x:c>
      <x:c r="M42" s="2" t="n">
        <x:f>MAX(0,MIN(G42,48)-MAX(F42,37)+1)/12*H42</x:f>
        <x:v>0</x:v>
      </x:c>
      <x:c r="N42" s="2" t="n">
        <x:f>IF(AND(E42&gt;0,F42&gt;=1,F42&lt;=12),H42,0)</x:f>
        <x:v>0</x:v>
      </x:c>
      <x:c r="O42" s="2" t="n">
        <x:f>IF(AND(E42&gt;0,F42&gt;=13,F42&lt;=24),H42,0)</x:f>
        <x:v>0</x:v>
      </x:c>
      <x:c r="P42" s="2" t="n">
        <x:f>IF(AND(E42&gt;0,F42&gt;=25,F42&lt;=36),H42,0)</x:f>
        <x:v>0</x:v>
      </x:c>
      <x:c r="Q42" s="2" t="n">
        <x:f>IF(AND(E42&gt;0,F42&gt;=37,F42&lt;=48),H42,0)</x:f>
        <x:v>0</x:v>
      </x:c>
      <x:c r="R42" s="2" t="n">
        <x:f>IF(AND(D42&lt;=12,IF(E42=0,D42,F42)&lt;=12,G42&gt;=12),H42,0)</x:f>
        <x:v>0</x:v>
      </x:c>
      <x:c r="S42" s="2" t="n">
        <x:f>IF(AND(D42&lt;=24,IF(E42=0,D42,F42)&lt;=24,G42&gt;=24),H42,0)</x:f>
        <x:v>24</x:v>
      </x:c>
      <x:c r="T42" s="2" t="n">
        <x:f>IF(AND(D42&lt;=36,IF(E42=0,D42,F42)&lt;=36,G42&gt;=36),H42,0)</x:f>
        <x:v>0</x:v>
      </x:c>
      <x:c r="U42" s="2" t="n">
        <x:f>IF(AND(D42&lt;=48,IF(E42=0,D42,F42)&lt;=48,G42&gt;=48),H42,0)</x:f>
        <x:v>0</x:v>
      </x:c>
      <x:c r="V42" s="2" t="n">
        <x:f>MAX(0,MIN(G42,12)-MAX(F42,1)+1)/12*I42</x:f>
        <x:v>0</x:v>
      </x:c>
      <x:c r="W42" s="2" t="n">
        <x:f>MAX(0,MIN(G42,24)-MAX(F42,13)+1)/12*I42</x:f>
        <x:v>3.5999999999999996</x:v>
      </x:c>
      <x:c r="X42" s="2" t="n">
        <x:f>MAX(0,MIN(G42,36)-MAX(F42,25)+1)/12*I42</x:f>
        <x:v>3.5999999999999996</x:v>
      </x:c>
      <x:c r="Y42" s="2" t="n">
        <x:f>MAX(0,MIN(G42,48)-MAX(F42,37)+1)/12*I42</x:f>
        <x:v>0</x:v>
      </x:c>
    </x:row>
    <x:row r="43" ht="23" customHeight="1">
      <x:c r="A43" s="1"/>
      <x:c r="B43" s="1"/>
      <x:c r="C43" s="1" t="str">
        <x:v>Y2-N合计 第2服务年</x:v>
      </x:c>
      <x:c r="D43" s="2" t="n">
        <x:f>13</x:f>
        <x:v>13</x:v>
      </x:c>
      <x:c r="E43" s="10" t="n">
        <x:v>1</x:v>
      </x:c>
      <x:c r="F43" s="2" t="n">
        <x:f>19+12*E43</x:f>
        <x:v>31</x:v>
      </x:c>
      <x:c r="G43" s="2" t="n">
        <x:f>F43+11</x:f>
        <x:v>42</x:v>
      </x:c>
      <x:c r="H43" s="8" t="n">
        <x:f>'假设'!D97*'项目单价'!E8*'假设'!D52*'假设'!D82^E43</x:f>
        <x:v>21.6</x:v>
      </x:c>
      <x:c r="I43" s="8" t="n">
        <x:f>'假设'!D97*'项目单价'!L8*12*'假设'!D57*'假设'!D82^E43</x:f>
        <x:v>6.4799999999999995</x:v>
      </x:c>
      <x:c r="J43" s="2" t="n">
        <x:f>MAX(0,MIN(G43,12)-MAX(F43,1)+1)/12*H43</x:f>
        <x:v>0</x:v>
      </x:c>
      <x:c r="K43" s="2" t="n">
        <x:f>MAX(0,MIN(G43,24)-MAX(F43,13)+1)/12*H43</x:f>
        <x:v>0</x:v>
      </x:c>
      <x:c r="L43" s="2" t="n">
        <x:f>MAX(0,MIN(G43,36)-MAX(F43,25)+1)/12*H43</x:f>
        <x:v>10.8</x:v>
      </x:c>
      <x:c r="M43" s="2" t="n">
        <x:f>MAX(0,MIN(G43,48)-MAX(F43,37)+1)/12*H43</x:f>
        <x:v>10.8</x:v>
      </x:c>
      <x:c r="N43" s="2" t="n">
        <x:f>IF(AND(E43&gt;0,F43&gt;=1,F43&lt;=12),H43,0)</x:f>
        <x:v>0</x:v>
      </x:c>
      <x:c r="O43" s="2" t="n">
        <x:f>IF(AND(E43&gt;0,F43&gt;=13,F43&lt;=24),H43,0)</x:f>
        <x:v>0</x:v>
      </x:c>
      <x:c r="P43" s="2" t="n">
        <x:f>IF(AND(E43&gt;0,F43&gt;=25,F43&lt;=36),H43,0)</x:f>
        <x:v>21.6</x:v>
      </x:c>
      <x:c r="Q43" s="2" t="n">
        <x:f>IF(AND(E43&gt;0,F43&gt;=37,F43&lt;=48),H43,0)</x:f>
        <x:v>0</x:v>
      </x:c>
      <x:c r="R43" s="2" t="n">
        <x:f>IF(AND(D43&lt;=12,IF(E43=0,D43,F43)&lt;=12,G43&gt;=12),H43,0)</x:f>
        <x:v>0</x:v>
      </x:c>
      <x:c r="S43" s="2" t="n">
        <x:f>IF(AND(D43&lt;=24,IF(E43=0,D43,F43)&lt;=24,G43&gt;=24),H43,0)</x:f>
        <x:v>0</x:v>
      </x:c>
      <x:c r="T43" s="2" t="n">
        <x:f>IF(AND(D43&lt;=36,IF(E43=0,D43,F43)&lt;=36,G43&gt;=36),H43,0)</x:f>
        <x:v>21.6</x:v>
      </x:c>
      <x:c r="U43" s="2" t="n">
        <x:f>IF(AND(D43&lt;=48,IF(E43=0,D43,F43)&lt;=48,G43&gt;=48),H43,0)</x:f>
        <x:v>0</x:v>
      </x:c>
      <x:c r="V43" s="2" t="n">
        <x:f>MAX(0,MIN(G43,12)-MAX(F43,1)+1)/12*I43</x:f>
        <x:v>0</x:v>
      </x:c>
      <x:c r="W43" s="2" t="n">
        <x:f>MAX(0,MIN(G43,24)-MAX(F43,13)+1)/12*I43</x:f>
        <x:v>0</x:v>
      </x:c>
      <x:c r="X43" s="2" t="n">
        <x:f>MAX(0,MIN(G43,36)-MAX(F43,25)+1)/12*I43</x:f>
        <x:v>3.2399999999999998</x:v>
      </x:c>
      <x:c r="Y43" s="2" t="n">
        <x:f>MAX(0,MIN(G43,48)-MAX(F43,37)+1)/12*I43</x:f>
        <x:v>3.2399999999999998</x:v>
      </x:c>
    </x:row>
    <x:row r="44" ht="23" customHeight="1">
      <x:c r="A44" s="1"/>
      <x:c r="B44" s="1"/>
      <x:c r="C44" s="1" t="str">
        <x:v>Y2-N合计 第3服务年</x:v>
      </x:c>
      <x:c r="D44" s="2" t="n">
        <x:f>13</x:f>
        <x:v>13</x:v>
      </x:c>
      <x:c r="E44" s="10" t="n">
        <x:v>2</x:v>
      </x:c>
      <x:c r="F44" s="2" t="n">
        <x:f>19+12*E44</x:f>
        <x:v>43</x:v>
      </x:c>
      <x:c r="G44" s="2" t="n">
        <x:f>F44+11</x:f>
        <x:v>54</x:v>
      </x:c>
      <x:c r="H44" s="8" t="n">
        <x:f>'假设'!D97*'项目单价'!E8*'假设'!D52*'假设'!D82^E44</x:f>
        <x:v>19.44</x:v>
      </x:c>
      <x:c r="I44" s="8" t="n">
        <x:f>'假设'!D97*'项目单价'!L8*12*'假设'!D57*'假设'!D82^E44</x:f>
        <x:v>5.832</x:v>
      </x:c>
      <x:c r="J44" s="2" t="n">
        <x:f>MAX(0,MIN(G44,12)-MAX(F44,1)+1)/12*H44</x:f>
        <x:v>0</x:v>
      </x:c>
      <x:c r="K44" s="2" t="n">
        <x:f>MAX(0,MIN(G44,24)-MAX(F44,13)+1)/12*H44</x:f>
        <x:v>0</x:v>
      </x:c>
      <x:c r="L44" s="2" t="n">
        <x:f>MAX(0,MIN(G44,36)-MAX(F44,25)+1)/12*H44</x:f>
        <x:v>0</x:v>
      </x:c>
      <x:c r="M44" s="2" t="n">
        <x:f>MAX(0,MIN(G44,48)-MAX(F44,37)+1)/12*H44</x:f>
        <x:v>9.72</x:v>
      </x:c>
      <x:c r="N44" s="2" t="n">
        <x:f>IF(AND(E44&gt;0,F44&gt;=1,F44&lt;=12),H44,0)</x:f>
        <x:v>0</x:v>
      </x:c>
      <x:c r="O44" s="2" t="n">
        <x:f>IF(AND(E44&gt;0,F44&gt;=13,F44&lt;=24),H44,0)</x:f>
        <x:v>0</x:v>
      </x:c>
      <x:c r="P44" s="2" t="n">
        <x:f>IF(AND(E44&gt;0,F44&gt;=25,F44&lt;=36),H44,0)</x:f>
        <x:v>0</x:v>
      </x:c>
      <x:c r="Q44" s="2" t="n">
        <x:f>IF(AND(E44&gt;0,F44&gt;=37,F44&lt;=48),H44,0)</x:f>
        <x:v>19.44</x:v>
      </x:c>
      <x:c r="R44" s="2" t="n">
        <x:f>IF(AND(D44&lt;=12,IF(E44=0,D44,F44)&lt;=12,G44&gt;=12),H44,0)</x:f>
        <x:v>0</x:v>
      </x:c>
      <x:c r="S44" s="2" t="n">
        <x:f>IF(AND(D44&lt;=24,IF(E44=0,D44,F44)&lt;=24,G44&gt;=24),H44,0)</x:f>
        <x:v>0</x:v>
      </x:c>
      <x:c r="T44" s="2" t="n">
        <x:f>IF(AND(D44&lt;=36,IF(E44=0,D44,F44)&lt;=36,G44&gt;=36),H44,0)</x:f>
        <x:v>0</x:v>
      </x:c>
      <x:c r="U44" s="2" t="n">
        <x:f>IF(AND(D44&lt;=48,IF(E44=0,D44,F44)&lt;=48,G44&gt;=48),H44,0)</x:f>
        <x:v>19.44</x:v>
      </x:c>
      <x:c r="V44" s="2" t="n">
        <x:f>MAX(0,MIN(G44,12)-MAX(F44,1)+1)/12*I44</x:f>
        <x:v>0</x:v>
      </x:c>
      <x:c r="W44" s="2" t="n">
        <x:f>MAX(0,MIN(G44,24)-MAX(F44,13)+1)/12*I44</x:f>
        <x:v>0</x:v>
      </x:c>
      <x:c r="X44" s="2" t="n">
        <x:f>MAX(0,MIN(G44,36)-MAX(F44,25)+1)/12*I44</x:f>
        <x:v>0</x:v>
      </x:c>
      <x:c r="Y44" s="2" t="n">
        <x:f>MAX(0,MIN(G44,48)-MAX(F44,37)+1)/12*I44</x:f>
        <x:v>2.916</x:v>
      </x:c>
    </x:row>
    <x:row r="45" ht="23" customHeight="1">
      <x:c r="A45" s="1"/>
      <x:c r="B45" s="1"/>
      <x:c r="C45" s="1" t="str">
        <x:v>Y2-N合计 第4服务年</x:v>
      </x:c>
      <x:c r="D45" s="2" t="n">
        <x:f>13</x:f>
        <x:v>13</x:v>
      </x:c>
      <x:c r="E45" s="10" t="n">
        <x:v>3</x:v>
      </x:c>
      <x:c r="F45" s="2" t="n">
        <x:f>19+12*E45</x:f>
        <x:v>55</x:v>
      </x:c>
      <x:c r="G45" s="2" t="n">
        <x:f>F45+11</x:f>
        <x:v>66</x:v>
      </x:c>
      <x:c r="H45" s="8" t="n">
        <x:f>'假设'!D97*'项目单价'!E8*'假设'!D52*'假设'!D82^E45</x:f>
        <x:v>17.496000000000002</x:v>
      </x:c>
      <x:c r="I45" s="8" t="n">
        <x:f>'假设'!D97*'项目单价'!L8*12*'假设'!D57*'假设'!D82^E45</x:f>
        <x:v>5.2488</x:v>
      </x:c>
      <x:c r="J45" s="2" t="n">
        <x:f>MAX(0,MIN(G45,12)-MAX(F45,1)+1)/12*H45</x:f>
        <x:v>0</x:v>
      </x:c>
      <x:c r="K45" s="2" t="n">
        <x:f>MAX(0,MIN(G45,24)-MAX(F45,13)+1)/12*H45</x:f>
        <x:v>0</x:v>
      </x:c>
      <x:c r="L45" s="2" t="n">
        <x:f>MAX(0,MIN(G45,36)-MAX(F45,25)+1)/12*H45</x:f>
        <x:v>0</x:v>
      </x:c>
      <x:c r="M45" s="2" t="n">
        <x:f>MAX(0,MIN(G45,48)-MAX(F45,37)+1)/12*H45</x:f>
        <x:v>0</x:v>
      </x:c>
      <x:c r="N45" s="2" t="n">
        <x:f>IF(AND(E45&gt;0,F45&gt;=1,F45&lt;=12),H45,0)</x:f>
        <x:v>0</x:v>
      </x:c>
      <x:c r="O45" s="2" t="n">
        <x:f>IF(AND(E45&gt;0,F45&gt;=13,F45&lt;=24),H45,0)</x:f>
        <x:v>0</x:v>
      </x:c>
      <x:c r="P45" s="2" t="n">
        <x:f>IF(AND(E45&gt;0,F45&gt;=25,F45&lt;=36),H45,0)</x:f>
        <x:v>0</x:v>
      </x:c>
      <x:c r="Q45" s="2" t="n">
        <x:f>IF(AND(E45&gt;0,F45&gt;=37,F45&lt;=48),H45,0)</x:f>
        <x:v>0</x:v>
      </x:c>
      <x:c r="R45" s="2" t="n">
        <x:f>IF(AND(D45&lt;=12,IF(E45=0,D45,F45)&lt;=12,G45&gt;=12),H45,0)</x:f>
        <x:v>0</x:v>
      </x:c>
      <x:c r="S45" s="2" t="n">
        <x:f>IF(AND(D45&lt;=24,IF(E45=0,D45,F45)&lt;=24,G45&gt;=24),H45,0)</x:f>
        <x:v>0</x:v>
      </x:c>
      <x:c r="T45" s="2" t="n">
        <x:f>IF(AND(D45&lt;=36,IF(E45=0,D45,F45)&lt;=36,G45&gt;=36),H45,0)</x:f>
        <x:v>0</x:v>
      </x:c>
      <x:c r="U45" s="2" t="n">
        <x:f>IF(AND(D45&lt;=48,IF(E45=0,D45,F45)&lt;=48,G45&gt;=48),H45,0)</x:f>
        <x:v>0</x:v>
      </x:c>
      <x:c r="V45" s="2" t="n">
        <x:f>MAX(0,MIN(G45,12)-MAX(F45,1)+1)/12*I45</x:f>
        <x:v>0</x:v>
      </x:c>
      <x:c r="W45" s="2" t="n">
        <x:f>MAX(0,MIN(G45,24)-MAX(F45,13)+1)/12*I45</x:f>
        <x:v>0</x:v>
      </x:c>
      <x:c r="X45" s="2" t="n">
        <x:f>MAX(0,MIN(G45,36)-MAX(F45,25)+1)/12*I45</x:f>
        <x:v>0</x:v>
      </x:c>
      <x:c r="Y45" s="2" t="n">
        <x:f>MAX(0,MIN(G45,48)-MAX(F45,37)+1)/12*I45</x:f>
        <x:v>0</x:v>
      </x:c>
    </x:row>
    <x:row r="46" ht="23" customHeight="1">
      <x:c r="A46" s="1"/>
      <x:c r="B46" s="1"/>
      <x:c r="C46" s="1" t="str">
        <x:v>Y3-E合计 第1服务年</x:v>
      </x:c>
      <x:c r="D46" s="2" t="n">
        <x:f>25</x:f>
        <x:v>25</x:v>
      </x:c>
      <x:c r="E46" s="10" t="n">
        <x:v>0</x:v>
      </x:c>
      <x:c r="F46" s="2" t="n">
        <x:f>31+12*E46</x:f>
        <x:v>31</x:v>
      </x:c>
      <x:c r="G46" s="2" t="n">
        <x:f>F46+11</x:f>
        <x:v>42</x:v>
      </x:c>
      <x:c r="H46" s="8" t="n">
        <x:f>'假设'!D107*'项目单价'!E7*'假设'!D52*'假设'!D82^E46</x:f>
        <x:v>108</x:v>
      </x:c>
      <x:c r="I46" s="8" t="n">
        <x:f>'假设'!D107*'项目单价'!L7*12*'假设'!D57*'假设'!D82^E46</x:f>
        <x:v>32.4</x:v>
      </x:c>
      <x:c r="J46" s="2" t="n">
        <x:f>MAX(0,MIN(G46,12)-MAX(F46,1)+1)/12*H46</x:f>
        <x:v>0</x:v>
      </x:c>
      <x:c r="K46" s="2" t="n">
        <x:f>MAX(0,MIN(G46,24)-MAX(F46,13)+1)/12*H46</x:f>
        <x:v>0</x:v>
      </x:c>
      <x:c r="L46" s="2" t="n">
        <x:f>MAX(0,MIN(G46,36)-MAX(F46,25)+1)/12*H46</x:f>
        <x:v>54</x:v>
      </x:c>
      <x:c r="M46" s="2" t="n">
        <x:f>MAX(0,MIN(G46,48)-MAX(F46,37)+1)/12*H46</x:f>
        <x:v>54</x:v>
      </x:c>
      <x:c r="N46" s="2" t="n">
        <x:f>IF(AND(E46&gt;0,F46&gt;=1,F46&lt;=12),H46,0)</x:f>
        <x:v>0</x:v>
      </x:c>
      <x:c r="O46" s="2" t="n">
        <x:f>IF(AND(E46&gt;0,F46&gt;=13,F46&lt;=24),H46,0)</x:f>
        <x:v>0</x:v>
      </x:c>
      <x:c r="P46" s="2" t="n">
        <x:f>IF(AND(E46&gt;0,F46&gt;=25,F46&lt;=36),H46,0)</x:f>
        <x:v>0</x:v>
      </x:c>
      <x:c r="Q46" s="2" t="n">
        <x:f>IF(AND(E46&gt;0,F46&gt;=37,F46&lt;=48),H46,0)</x:f>
        <x:v>0</x:v>
      </x:c>
      <x:c r="R46" s="2" t="n">
        <x:f>IF(AND(D46&lt;=12,IF(E46=0,D46,F46)&lt;=12,G46&gt;=12),H46,0)</x:f>
        <x:v>0</x:v>
      </x:c>
      <x:c r="S46" s="2" t="n">
        <x:f>IF(AND(D46&lt;=24,IF(E46=0,D46,F46)&lt;=24,G46&gt;=24),H46,0)</x:f>
        <x:v>0</x:v>
      </x:c>
      <x:c r="T46" s="2" t="n">
        <x:f>IF(AND(D46&lt;=36,IF(E46=0,D46,F46)&lt;=36,G46&gt;=36),H46,0)</x:f>
        <x:v>108</x:v>
      </x:c>
      <x:c r="U46" s="2" t="n">
        <x:f>IF(AND(D46&lt;=48,IF(E46=0,D46,F46)&lt;=48,G46&gt;=48),H46,0)</x:f>
        <x:v>0</x:v>
      </x:c>
      <x:c r="V46" s="2" t="n">
        <x:f>MAX(0,MIN(G46,12)-MAX(F46,1)+1)/12*I46</x:f>
        <x:v>0</x:v>
      </x:c>
      <x:c r="W46" s="2" t="n">
        <x:f>MAX(0,MIN(G46,24)-MAX(F46,13)+1)/12*I46</x:f>
        <x:v>0</x:v>
      </x:c>
      <x:c r="X46" s="2" t="n">
        <x:f>MAX(0,MIN(G46,36)-MAX(F46,25)+1)/12*I46</x:f>
        <x:v>16.2</x:v>
      </x:c>
      <x:c r="Y46" s="2" t="n">
        <x:f>MAX(0,MIN(G46,48)-MAX(F46,37)+1)/12*I46</x:f>
        <x:v>16.2</x:v>
      </x:c>
    </x:row>
    <x:row r="47" ht="23" customHeight="1">
      <x:c r="A47" s="1"/>
      <x:c r="B47" s="1"/>
      <x:c r="C47" s="1" t="str">
        <x:v>Y3-E合计 第2服务年</x:v>
      </x:c>
      <x:c r="D47" s="2" t="n">
        <x:f>25</x:f>
        <x:v>25</x:v>
      </x:c>
      <x:c r="E47" s="10" t="n">
        <x:v>1</x:v>
      </x:c>
      <x:c r="F47" s="2" t="n">
        <x:f>31+12*E47</x:f>
        <x:v>43</x:v>
      </x:c>
      <x:c r="G47" s="2" t="n">
        <x:f>F47+11</x:f>
        <x:v>54</x:v>
      </x:c>
      <x:c r="H47" s="8" t="n">
        <x:f>'假设'!D107*'项目单价'!E7*'假设'!D52*'假设'!D82^E47</x:f>
        <x:v>97.2</x:v>
      </x:c>
      <x:c r="I47" s="8" t="n">
        <x:f>'假设'!D107*'项目单价'!L7*12*'假设'!D57*'假设'!D82^E47</x:f>
        <x:v>29.16</x:v>
      </x:c>
      <x:c r="J47" s="2" t="n">
        <x:f>MAX(0,MIN(G47,12)-MAX(F47,1)+1)/12*H47</x:f>
        <x:v>0</x:v>
      </x:c>
      <x:c r="K47" s="2" t="n">
        <x:f>MAX(0,MIN(G47,24)-MAX(F47,13)+1)/12*H47</x:f>
        <x:v>0</x:v>
      </x:c>
      <x:c r="L47" s="2" t="n">
        <x:f>MAX(0,MIN(G47,36)-MAX(F47,25)+1)/12*H47</x:f>
        <x:v>0</x:v>
      </x:c>
      <x:c r="M47" s="2" t="n">
        <x:f>MAX(0,MIN(G47,48)-MAX(F47,37)+1)/12*H47</x:f>
        <x:v>48.6</x:v>
      </x:c>
      <x:c r="N47" s="2" t="n">
        <x:f>IF(AND(E47&gt;0,F47&gt;=1,F47&lt;=12),H47,0)</x:f>
        <x:v>0</x:v>
      </x:c>
      <x:c r="O47" s="2" t="n">
        <x:f>IF(AND(E47&gt;0,F47&gt;=13,F47&lt;=24),H47,0)</x:f>
        <x:v>0</x:v>
      </x:c>
      <x:c r="P47" s="2" t="n">
        <x:f>IF(AND(E47&gt;0,F47&gt;=25,F47&lt;=36),H47,0)</x:f>
        <x:v>0</x:v>
      </x:c>
      <x:c r="Q47" s="2" t="n">
        <x:f>IF(AND(E47&gt;0,F47&gt;=37,F47&lt;=48),H47,0)</x:f>
        <x:v>97.2</x:v>
      </x:c>
      <x:c r="R47" s="2" t="n">
        <x:f>IF(AND(D47&lt;=12,IF(E47=0,D47,F47)&lt;=12,G47&gt;=12),H47,0)</x:f>
        <x:v>0</x:v>
      </x:c>
      <x:c r="S47" s="2" t="n">
        <x:f>IF(AND(D47&lt;=24,IF(E47=0,D47,F47)&lt;=24,G47&gt;=24),H47,0)</x:f>
        <x:v>0</x:v>
      </x:c>
      <x:c r="T47" s="2" t="n">
        <x:f>IF(AND(D47&lt;=36,IF(E47=0,D47,F47)&lt;=36,G47&gt;=36),H47,0)</x:f>
        <x:v>0</x:v>
      </x:c>
      <x:c r="U47" s="2" t="n">
        <x:f>IF(AND(D47&lt;=48,IF(E47=0,D47,F47)&lt;=48,G47&gt;=48),H47,0)</x:f>
        <x:v>97.2</x:v>
      </x:c>
      <x:c r="V47" s="2" t="n">
        <x:f>MAX(0,MIN(G47,12)-MAX(F47,1)+1)/12*I47</x:f>
        <x:v>0</x:v>
      </x:c>
      <x:c r="W47" s="2" t="n">
        <x:f>MAX(0,MIN(G47,24)-MAX(F47,13)+1)/12*I47</x:f>
        <x:v>0</x:v>
      </x:c>
      <x:c r="X47" s="2" t="n">
        <x:f>MAX(0,MIN(G47,36)-MAX(F47,25)+1)/12*I47</x:f>
        <x:v>0</x:v>
      </x:c>
      <x:c r="Y47" s="2" t="n">
        <x:f>MAX(0,MIN(G47,48)-MAX(F47,37)+1)/12*I47</x:f>
        <x:v>14.58</x:v>
      </x:c>
    </x:row>
    <x:row r="48" ht="23" customHeight="1">
      <x:c r="A48" s="1"/>
      <x:c r="B48" s="1"/>
      <x:c r="C48" s="1" t="str">
        <x:v>Y3-E合计 第3服务年</x:v>
      </x:c>
      <x:c r="D48" s="2" t="n">
        <x:f>25</x:f>
        <x:v>25</x:v>
      </x:c>
      <x:c r="E48" s="10" t="n">
        <x:v>2</x:v>
      </x:c>
      <x:c r="F48" s="2" t="n">
        <x:f>31+12*E48</x:f>
        <x:v>55</x:v>
      </x:c>
      <x:c r="G48" s="2" t="n">
        <x:f>F48+11</x:f>
        <x:v>66</x:v>
      </x:c>
      <x:c r="H48" s="8" t="n">
        <x:f>'假设'!D107*'项目单价'!E7*'假设'!D52*'假设'!D82^E48</x:f>
        <x:v>87.48</x:v>
      </x:c>
      <x:c r="I48" s="8" t="n">
        <x:f>'假设'!D107*'项目单价'!L7*12*'假设'!D57*'假设'!D82^E48</x:f>
        <x:v>26.244</x:v>
      </x:c>
      <x:c r="J48" s="2" t="n">
        <x:f>MAX(0,MIN(G48,12)-MAX(F48,1)+1)/12*H48</x:f>
        <x:v>0</x:v>
      </x:c>
      <x:c r="K48" s="2" t="n">
        <x:f>MAX(0,MIN(G48,24)-MAX(F48,13)+1)/12*H48</x:f>
        <x:v>0</x:v>
      </x:c>
      <x:c r="L48" s="2" t="n">
        <x:f>MAX(0,MIN(G48,36)-MAX(F48,25)+1)/12*H48</x:f>
        <x:v>0</x:v>
      </x:c>
      <x:c r="M48" s="2" t="n">
        <x:f>MAX(0,MIN(G48,48)-MAX(F48,37)+1)/12*H48</x:f>
        <x:v>0</x:v>
      </x:c>
      <x:c r="N48" s="2" t="n">
        <x:f>IF(AND(E48&gt;0,F48&gt;=1,F48&lt;=12),H48,0)</x:f>
        <x:v>0</x:v>
      </x:c>
      <x:c r="O48" s="2" t="n">
        <x:f>IF(AND(E48&gt;0,F48&gt;=13,F48&lt;=24),H48,0)</x:f>
        <x:v>0</x:v>
      </x:c>
      <x:c r="P48" s="2" t="n">
        <x:f>IF(AND(E48&gt;0,F48&gt;=25,F48&lt;=36),H48,0)</x:f>
        <x:v>0</x:v>
      </x:c>
      <x:c r="Q48" s="2" t="n">
        <x:f>IF(AND(E48&gt;0,F48&gt;=37,F48&lt;=48),H48,0)</x:f>
        <x:v>0</x:v>
      </x:c>
      <x:c r="R48" s="2" t="n">
        <x:f>IF(AND(D48&lt;=12,IF(E48=0,D48,F48)&lt;=12,G48&gt;=12),H48,0)</x:f>
        <x:v>0</x:v>
      </x:c>
      <x:c r="S48" s="2" t="n">
        <x:f>IF(AND(D48&lt;=24,IF(E48=0,D48,F48)&lt;=24,G48&gt;=24),H48,0)</x:f>
        <x:v>0</x:v>
      </x:c>
      <x:c r="T48" s="2" t="n">
        <x:f>IF(AND(D48&lt;=36,IF(E48=0,D48,F48)&lt;=36,G48&gt;=36),H48,0)</x:f>
        <x:v>0</x:v>
      </x:c>
      <x:c r="U48" s="2" t="n">
        <x:f>IF(AND(D48&lt;=48,IF(E48=0,D48,F48)&lt;=48,G48&gt;=48),H48,0)</x:f>
        <x:v>0</x:v>
      </x:c>
      <x:c r="V48" s="2" t="n">
        <x:f>MAX(0,MIN(G48,12)-MAX(F48,1)+1)/12*I48</x:f>
        <x:v>0</x:v>
      </x:c>
      <x:c r="W48" s="2" t="n">
        <x:f>MAX(0,MIN(G48,24)-MAX(F48,13)+1)/12*I48</x:f>
        <x:v>0</x:v>
      </x:c>
      <x:c r="X48" s="2" t="n">
        <x:f>MAX(0,MIN(G48,36)-MAX(F48,25)+1)/12*I48</x:f>
        <x:v>0</x:v>
      </x:c>
      <x:c r="Y48" s="2" t="n">
        <x:f>MAX(0,MIN(G48,48)-MAX(F48,37)+1)/12*I48</x:f>
        <x:v>0</x:v>
      </x:c>
    </x:row>
    <x:row r="49" ht="23" customHeight="1">
      <x:c r="A49" s="1"/>
      <x:c r="B49" s="1"/>
      <x:c r="C49" s="1" t="str">
        <x:v>Y3-E合计 第4服务年</x:v>
      </x:c>
      <x:c r="D49" s="2" t="n">
        <x:f>25</x:f>
        <x:v>25</x:v>
      </x:c>
      <x:c r="E49" s="10" t="n">
        <x:v>3</x:v>
      </x:c>
      <x:c r="F49" s="2" t="n">
        <x:f>31+12*E49</x:f>
        <x:v>67</x:v>
      </x:c>
      <x:c r="G49" s="2" t="n">
        <x:f>F49+11</x:f>
        <x:v>78</x:v>
      </x:c>
      <x:c r="H49" s="8" t="n">
        <x:f>'假设'!D107*'项目单价'!E7*'假设'!D52*'假设'!D82^E49</x:f>
        <x:v>78.73200000000001</x:v>
      </x:c>
      <x:c r="I49" s="8" t="n">
        <x:f>'假设'!D107*'项目单价'!L7*12*'假设'!D57*'假设'!D82^E49</x:f>
        <x:v>23.619600000000002</x:v>
      </x:c>
      <x:c r="J49" s="2" t="n">
        <x:f>MAX(0,MIN(G49,12)-MAX(F49,1)+1)/12*H49</x:f>
        <x:v>0</x:v>
      </x:c>
      <x:c r="K49" s="2" t="n">
        <x:f>MAX(0,MIN(G49,24)-MAX(F49,13)+1)/12*H49</x:f>
        <x:v>0</x:v>
      </x:c>
      <x:c r="L49" s="2" t="n">
        <x:f>MAX(0,MIN(G49,36)-MAX(F49,25)+1)/12*H49</x:f>
        <x:v>0</x:v>
      </x:c>
      <x:c r="M49" s="2" t="n">
        <x:f>MAX(0,MIN(G49,48)-MAX(F49,37)+1)/12*H49</x:f>
        <x:v>0</x:v>
      </x:c>
      <x:c r="N49" s="2" t="n">
        <x:f>IF(AND(E49&gt;0,F49&gt;=1,F49&lt;=12),H49,0)</x:f>
        <x:v>0</x:v>
      </x:c>
      <x:c r="O49" s="2" t="n">
        <x:f>IF(AND(E49&gt;0,F49&gt;=13,F49&lt;=24),H49,0)</x:f>
        <x:v>0</x:v>
      </x:c>
      <x:c r="P49" s="2" t="n">
        <x:f>IF(AND(E49&gt;0,F49&gt;=25,F49&lt;=36),H49,0)</x:f>
        <x:v>0</x:v>
      </x:c>
      <x:c r="Q49" s="2" t="n">
        <x:f>IF(AND(E49&gt;0,F49&gt;=37,F49&lt;=48),H49,0)</x:f>
        <x:v>0</x:v>
      </x:c>
      <x:c r="R49" s="2" t="n">
        <x:f>IF(AND(D49&lt;=12,IF(E49=0,D49,F49)&lt;=12,G49&gt;=12),H49,0)</x:f>
        <x:v>0</x:v>
      </x:c>
      <x:c r="S49" s="2" t="n">
        <x:f>IF(AND(D49&lt;=24,IF(E49=0,D49,F49)&lt;=24,G49&gt;=24),H49,0)</x:f>
        <x:v>0</x:v>
      </x:c>
      <x:c r="T49" s="2" t="n">
        <x:f>IF(AND(D49&lt;=36,IF(E49=0,D49,F49)&lt;=36,G49&gt;=36),H49,0)</x:f>
        <x:v>0</x:v>
      </x:c>
      <x:c r="U49" s="2" t="n">
        <x:f>IF(AND(D49&lt;=48,IF(E49=0,D49,F49)&lt;=48,G49&gt;=48),H49,0)</x:f>
        <x:v>0</x:v>
      </x:c>
      <x:c r="V49" s="2" t="n">
        <x:f>MAX(0,MIN(G49,12)-MAX(F49,1)+1)/12*I49</x:f>
        <x:v>0</x:v>
      </x:c>
      <x:c r="W49" s="2" t="n">
        <x:f>MAX(0,MIN(G49,24)-MAX(F49,13)+1)/12*I49</x:f>
        <x:v>0</x:v>
      </x:c>
      <x:c r="X49" s="2" t="n">
        <x:f>MAX(0,MIN(G49,36)-MAX(F49,25)+1)/12*I49</x:f>
        <x:v>0</x:v>
      </x:c>
      <x:c r="Y49" s="2" t="n">
        <x:f>MAX(0,MIN(G49,48)-MAX(F49,37)+1)/12*I49</x:f>
        <x:v>0</x:v>
      </x:c>
    </x:row>
    <x:row r="50" ht="23" customHeight="1">
      <x:c r="A50" s="1"/>
      <x:c r="B50" s="1"/>
      <x:c r="C50" s="1" t="str">
        <x:v>Y3-N合计 第1服务年</x:v>
      </x:c>
      <x:c r="D50" s="2" t="n">
        <x:f>25</x:f>
        <x:v>25</x:v>
      </x:c>
      <x:c r="E50" s="10" t="n">
        <x:v>0</x:v>
      </x:c>
      <x:c r="F50" s="2" t="n">
        <x:f>31+12*E50</x:f>
        <x:v>31</x:v>
      </x:c>
      <x:c r="G50" s="2" t="n">
        <x:f>F50+11</x:f>
        <x:v>42</x:v>
      </x:c>
      <x:c r="H50" s="8" t="n">
        <x:f>'假设'!D112*'项目单价'!E8*'假设'!D52*'假设'!D82^E50</x:f>
        <x:v>48</x:v>
      </x:c>
      <x:c r="I50" s="8" t="n">
        <x:f>'假设'!D112*'项目单价'!L8*12*'假设'!D57*'假设'!D82^E50</x:f>
        <x:v>14.399999999999999</x:v>
      </x:c>
      <x:c r="J50" s="2" t="n">
        <x:f>MAX(0,MIN(G50,12)-MAX(F50,1)+1)/12*H50</x:f>
        <x:v>0</x:v>
      </x:c>
      <x:c r="K50" s="2" t="n">
        <x:f>MAX(0,MIN(G50,24)-MAX(F50,13)+1)/12*H50</x:f>
        <x:v>0</x:v>
      </x:c>
      <x:c r="L50" s="2" t="n">
        <x:f>MAX(0,MIN(G50,36)-MAX(F50,25)+1)/12*H50</x:f>
        <x:v>24</x:v>
      </x:c>
      <x:c r="M50" s="2" t="n">
        <x:f>MAX(0,MIN(G50,48)-MAX(F50,37)+1)/12*H50</x:f>
        <x:v>24</x:v>
      </x:c>
      <x:c r="N50" s="2" t="n">
        <x:f>IF(AND(E50&gt;0,F50&gt;=1,F50&lt;=12),H50,0)</x:f>
        <x:v>0</x:v>
      </x:c>
      <x:c r="O50" s="2" t="n">
        <x:f>IF(AND(E50&gt;0,F50&gt;=13,F50&lt;=24),H50,0)</x:f>
        <x:v>0</x:v>
      </x:c>
      <x:c r="P50" s="2" t="n">
        <x:f>IF(AND(E50&gt;0,F50&gt;=25,F50&lt;=36),H50,0)</x:f>
        <x:v>0</x:v>
      </x:c>
      <x:c r="Q50" s="2" t="n">
        <x:f>IF(AND(E50&gt;0,F50&gt;=37,F50&lt;=48),H50,0)</x:f>
        <x:v>0</x:v>
      </x:c>
      <x:c r="R50" s="2" t="n">
        <x:f>IF(AND(D50&lt;=12,IF(E50=0,D50,F50)&lt;=12,G50&gt;=12),H50,0)</x:f>
        <x:v>0</x:v>
      </x:c>
      <x:c r="S50" s="2" t="n">
        <x:f>IF(AND(D50&lt;=24,IF(E50=0,D50,F50)&lt;=24,G50&gt;=24),H50,0)</x:f>
        <x:v>0</x:v>
      </x:c>
      <x:c r="T50" s="2" t="n">
        <x:f>IF(AND(D50&lt;=36,IF(E50=0,D50,F50)&lt;=36,G50&gt;=36),H50,0)</x:f>
        <x:v>48</x:v>
      </x:c>
      <x:c r="U50" s="2" t="n">
        <x:f>IF(AND(D50&lt;=48,IF(E50=0,D50,F50)&lt;=48,G50&gt;=48),H50,0)</x:f>
        <x:v>0</x:v>
      </x:c>
      <x:c r="V50" s="2" t="n">
        <x:f>MAX(0,MIN(G50,12)-MAX(F50,1)+1)/12*I50</x:f>
        <x:v>0</x:v>
      </x:c>
      <x:c r="W50" s="2" t="n">
        <x:f>MAX(0,MIN(G50,24)-MAX(F50,13)+1)/12*I50</x:f>
        <x:v>0</x:v>
      </x:c>
      <x:c r="X50" s="2" t="n">
        <x:f>MAX(0,MIN(G50,36)-MAX(F50,25)+1)/12*I50</x:f>
        <x:v>7.199999999999999</x:v>
      </x:c>
      <x:c r="Y50" s="2" t="n">
        <x:f>MAX(0,MIN(G50,48)-MAX(F50,37)+1)/12*I50</x:f>
        <x:v>7.199999999999999</x:v>
      </x:c>
    </x:row>
    <x:row r="51" ht="23" customHeight="1">
      <x:c r="A51" s="1"/>
      <x:c r="B51" s="1"/>
      <x:c r="C51" s="1" t="str">
        <x:v>Y3-N合计 第2服务年</x:v>
      </x:c>
      <x:c r="D51" s="2" t="n">
        <x:f>25</x:f>
        <x:v>25</x:v>
      </x:c>
      <x:c r="E51" s="10" t="n">
        <x:v>1</x:v>
      </x:c>
      <x:c r="F51" s="2" t="n">
        <x:f>31+12*E51</x:f>
        <x:v>43</x:v>
      </x:c>
      <x:c r="G51" s="2" t="n">
        <x:f>F51+11</x:f>
        <x:v>54</x:v>
      </x:c>
      <x:c r="H51" s="8" t="n">
        <x:f>'假设'!D112*'项目单价'!E8*'假设'!D52*'假设'!D82^E51</x:f>
        <x:v>43.2</x:v>
      </x:c>
      <x:c r="I51" s="8" t="n">
        <x:f>'假设'!D112*'项目单价'!L8*12*'假设'!D57*'假设'!D82^E51</x:f>
        <x:v>12.959999999999999</x:v>
      </x:c>
      <x:c r="J51" s="2" t="n">
        <x:f>MAX(0,MIN(G51,12)-MAX(F51,1)+1)/12*H51</x:f>
        <x:v>0</x:v>
      </x:c>
      <x:c r="K51" s="2" t="n">
        <x:f>MAX(0,MIN(G51,24)-MAX(F51,13)+1)/12*H51</x:f>
        <x:v>0</x:v>
      </x:c>
      <x:c r="L51" s="2" t="n">
        <x:f>MAX(0,MIN(G51,36)-MAX(F51,25)+1)/12*H51</x:f>
        <x:v>0</x:v>
      </x:c>
      <x:c r="M51" s="2" t="n">
        <x:f>MAX(0,MIN(G51,48)-MAX(F51,37)+1)/12*H51</x:f>
        <x:v>21.6</x:v>
      </x:c>
      <x:c r="N51" s="2" t="n">
        <x:f>IF(AND(E51&gt;0,F51&gt;=1,F51&lt;=12),H51,0)</x:f>
        <x:v>0</x:v>
      </x:c>
      <x:c r="O51" s="2" t="n">
        <x:f>IF(AND(E51&gt;0,F51&gt;=13,F51&lt;=24),H51,0)</x:f>
        <x:v>0</x:v>
      </x:c>
      <x:c r="P51" s="2" t="n">
        <x:f>IF(AND(E51&gt;0,F51&gt;=25,F51&lt;=36),H51,0)</x:f>
        <x:v>0</x:v>
      </x:c>
      <x:c r="Q51" s="2" t="n">
        <x:f>IF(AND(E51&gt;0,F51&gt;=37,F51&lt;=48),H51,0)</x:f>
        <x:v>43.2</x:v>
      </x:c>
      <x:c r="R51" s="2" t="n">
        <x:f>IF(AND(D51&lt;=12,IF(E51=0,D51,F51)&lt;=12,G51&gt;=12),H51,0)</x:f>
        <x:v>0</x:v>
      </x:c>
      <x:c r="S51" s="2" t="n">
        <x:f>IF(AND(D51&lt;=24,IF(E51=0,D51,F51)&lt;=24,G51&gt;=24),H51,0)</x:f>
        <x:v>0</x:v>
      </x:c>
      <x:c r="T51" s="2" t="n">
        <x:f>IF(AND(D51&lt;=36,IF(E51=0,D51,F51)&lt;=36,G51&gt;=36),H51,0)</x:f>
        <x:v>0</x:v>
      </x:c>
      <x:c r="U51" s="2" t="n">
        <x:f>IF(AND(D51&lt;=48,IF(E51=0,D51,F51)&lt;=48,G51&gt;=48),H51,0)</x:f>
        <x:v>43.2</x:v>
      </x:c>
      <x:c r="V51" s="2" t="n">
        <x:f>MAX(0,MIN(G51,12)-MAX(F51,1)+1)/12*I51</x:f>
        <x:v>0</x:v>
      </x:c>
      <x:c r="W51" s="2" t="n">
        <x:f>MAX(0,MIN(G51,24)-MAX(F51,13)+1)/12*I51</x:f>
        <x:v>0</x:v>
      </x:c>
      <x:c r="X51" s="2" t="n">
        <x:f>MAX(0,MIN(G51,36)-MAX(F51,25)+1)/12*I51</x:f>
        <x:v>0</x:v>
      </x:c>
      <x:c r="Y51" s="2" t="n">
        <x:f>MAX(0,MIN(G51,48)-MAX(F51,37)+1)/12*I51</x:f>
        <x:v>6.4799999999999995</x:v>
      </x:c>
    </x:row>
    <x:row r="52" ht="23" customHeight="1">
      <x:c r="A52" s="1"/>
      <x:c r="B52" s="1"/>
      <x:c r="C52" s="1" t="str">
        <x:v>Y3-N合计 第3服务年</x:v>
      </x:c>
      <x:c r="D52" s="2" t="n">
        <x:f>25</x:f>
        <x:v>25</x:v>
      </x:c>
      <x:c r="E52" s="10" t="n">
        <x:v>2</x:v>
      </x:c>
      <x:c r="F52" s="2" t="n">
        <x:f>31+12*E52</x:f>
        <x:v>55</x:v>
      </x:c>
      <x:c r="G52" s="2" t="n">
        <x:f>F52+11</x:f>
        <x:v>66</x:v>
      </x:c>
      <x:c r="H52" s="8" t="n">
        <x:f>'假设'!D112*'项目单价'!E8*'假设'!D52*'假设'!D82^E52</x:f>
        <x:v>38.88</x:v>
      </x:c>
      <x:c r="I52" s="8" t="n">
        <x:f>'假设'!D112*'项目单价'!L8*12*'假设'!D57*'假设'!D82^E52</x:f>
        <x:v>11.664</x:v>
      </x:c>
      <x:c r="J52" s="2" t="n">
        <x:f>MAX(0,MIN(G52,12)-MAX(F52,1)+1)/12*H52</x:f>
        <x:v>0</x:v>
      </x:c>
      <x:c r="K52" s="2" t="n">
        <x:f>MAX(0,MIN(G52,24)-MAX(F52,13)+1)/12*H52</x:f>
        <x:v>0</x:v>
      </x:c>
      <x:c r="L52" s="2" t="n">
        <x:f>MAX(0,MIN(G52,36)-MAX(F52,25)+1)/12*H52</x:f>
        <x:v>0</x:v>
      </x:c>
      <x:c r="M52" s="2" t="n">
        <x:f>MAX(0,MIN(G52,48)-MAX(F52,37)+1)/12*H52</x:f>
        <x:v>0</x:v>
      </x:c>
      <x:c r="N52" s="2" t="n">
        <x:f>IF(AND(E52&gt;0,F52&gt;=1,F52&lt;=12),H52,0)</x:f>
        <x:v>0</x:v>
      </x:c>
      <x:c r="O52" s="2" t="n">
        <x:f>IF(AND(E52&gt;0,F52&gt;=13,F52&lt;=24),H52,0)</x:f>
        <x:v>0</x:v>
      </x:c>
      <x:c r="P52" s="2" t="n">
        <x:f>IF(AND(E52&gt;0,F52&gt;=25,F52&lt;=36),H52,0)</x:f>
        <x:v>0</x:v>
      </x:c>
      <x:c r="Q52" s="2" t="n">
        <x:f>IF(AND(E52&gt;0,F52&gt;=37,F52&lt;=48),H52,0)</x:f>
        <x:v>0</x:v>
      </x:c>
      <x:c r="R52" s="2" t="n">
        <x:f>IF(AND(D52&lt;=12,IF(E52=0,D52,F52)&lt;=12,G52&gt;=12),H52,0)</x:f>
        <x:v>0</x:v>
      </x:c>
      <x:c r="S52" s="2" t="n">
        <x:f>IF(AND(D52&lt;=24,IF(E52=0,D52,F52)&lt;=24,G52&gt;=24),H52,0)</x:f>
        <x:v>0</x:v>
      </x:c>
      <x:c r="T52" s="2" t="n">
        <x:f>IF(AND(D52&lt;=36,IF(E52=0,D52,F52)&lt;=36,G52&gt;=36),H52,0)</x:f>
        <x:v>0</x:v>
      </x:c>
      <x:c r="U52" s="2" t="n">
        <x:f>IF(AND(D52&lt;=48,IF(E52=0,D52,F52)&lt;=48,G52&gt;=48),H52,0)</x:f>
        <x:v>0</x:v>
      </x:c>
      <x:c r="V52" s="2" t="n">
        <x:f>MAX(0,MIN(G52,12)-MAX(F52,1)+1)/12*I52</x:f>
        <x:v>0</x:v>
      </x:c>
      <x:c r="W52" s="2" t="n">
        <x:f>MAX(0,MIN(G52,24)-MAX(F52,13)+1)/12*I52</x:f>
        <x:v>0</x:v>
      </x:c>
      <x:c r="X52" s="2" t="n">
        <x:f>MAX(0,MIN(G52,36)-MAX(F52,25)+1)/12*I52</x:f>
        <x:v>0</x:v>
      </x:c>
      <x:c r="Y52" s="2" t="n">
        <x:f>MAX(0,MIN(G52,48)-MAX(F52,37)+1)/12*I52</x:f>
        <x:v>0</x:v>
      </x:c>
    </x:row>
    <x:row r="53" ht="23" customHeight="1">
      <x:c r="A53" s="1"/>
      <x:c r="B53" s="1"/>
      <x:c r="C53" s="1" t="str">
        <x:v>Y3-N合计 第4服务年</x:v>
      </x:c>
      <x:c r="D53" s="2" t="n">
        <x:f>25</x:f>
        <x:v>25</x:v>
      </x:c>
      <x:c r="E53" s="10" t="n">
        <x:v>3</x:v>
      </x:c>
      <x:c r="F53" s="2" t="n">
        <x:f>31+12*E53</x:f>
        <x:v>67</x:v>
      </x:c>
      <x:c r="G53" s="2" t="n">
        <x:f>F53+11</x:f>
        <x:v>78</x:v>
      </x:c>
      <x:c r="H53" s="8" t="n">
        <x:f>'假设'!D112*'项目单价'!E8*'假设'!D52*'假设'!D82^E53</x:f>
        <x:v>34.992000000000004</x:v>
      </x:c>
      <x:c r="I53" s="8" t="n">
        <x:f>'假设'!D112*'项目单价'!L8*12*'假设'!D57*'假设'!D82^E53</x:f>
        <x:v>10.4976</x:v>
      </x:c>
      <x:c r="J53" s="2" t="n">
        <x:f>MAX(0,MIN(G53,12)-MAX(F53,1)+1)/12*H53</x:f>
        <x:v>0</x:v>
      </x:c>
      <x:c r="K53" s="2" t="n">
        <x:f>MAX(0,MIN(G53,24)-MAX(F53,13)+1)/12*H53</x:f>
        <x:v>0</x:v>
      </x:c>
      <x:c r="L53" s="2" t="n">
        <x:f>MAX(0,MIN(G53,36)-MAX(F53,25)+1)/12*H53</x:f>
        <x:v>0</x:v>
      </x:c>
      <x:c r="M53" s="2" t="n">
        <x:f>MAX(0,MIN(G53,48)-MAX(F53,37)+1)/12*H53</x:f>
        <x:v>0</x:v>
      </x:c>
      <x:c r="N53" s="2" t="n">
        <x:f>IF(AND(E53&gt;0,F53&gt;=1,F53&lt;=12),H53,0)</x:f>
        <x:v>0</x:v>
      </x:c>
      <x:c r="O53" s="2" t="n">
        <x:f>IF(AND(E53&gt;0,F53&gt;=13,F53&lt;=24),H53,0)</x:f>
        <x:v>0</x:v>
      </x:c>
      <x:c r="P53" s="2" t="n">
        <x:f>IF(AND(E53&gt;0,F53&gt;=25,F53&lt;=36),H53,0)</x:f>
        <x:v>0</x:v>
      </x:c>
      <x:c r="Q53" s="2" t="n">
        <x:f>IF(AND(E53&gt;0,F53&gt;=37,F53&lt;=48),H53,0)</x:f>
        <x:v>0</x:v>
      </x:c>
      <x:c r="R53" s="2" t="n">
        <x:f>IF(AND(D53&lt;=12,IF(E53=0,D53,F53)&lt;=12,G53&gt;=12),H53,0)</x:f>
        <x:v>0</x:v>
      </x:c>
      <x:c r="S53" s="2" t="n">
        <x:f>IF(AND(D53&lt;=24,IF(E53=0,D53,F53)&lt;=24,G53&gt;=24),H53,0)</x:f>
        <x:v>0</x:v>
      </x:c>
      <x:c r="T53" s="2" t="n">
        <x:f>IF(AND(D53&lt;=36,IF(E53=0,D53,F53)&lt;=36,G53&gt;=36),H53,0)</x:f>
        <x:v>0</x:v>
      </x:c>
      <x:c r="U53" s="2" t="n">
        <x:f>IF(AND(D53&lt;=48,IF(E53=0,D53,F53)&lt;=48,G53&gt;=48),H53,0)</x:f>
        <x:v>0</x:v>
      </x:c>
      <x:c r="V53" s="2" t="n">
        <x:f>MAX(0,MIN(G53,12)-MAX(F53,1)+1)/12*I53</x:f>
        <x:v>0</x:v>
      </x:c>
      <x:c r="W53" s="2" t="n">
        <x:f>MAX(0,MIN(G53,24)-MAX(F53,13)+1)/12*I53</x:f>
        <x:v>0</x:v>
      </x:c>
      <x:c r="X53" s="2" t="n">
        <x:f>MAX(0,MIN(G53,36)-MAX(F53,25)+1)/12*I53</x:f>
        <x:v>0</x:v>
      </x:c>
      <x:c r="Y53" s="2" t="n">
        <x:f>MAX(0,MIN(G53,48)-MAX(F53,37)+1)/12*I53</x:f>
        <x:v>0</x:v>
      </x:c>
    </x:row>
    <x:row r="54" ht="23" customHeight="1">
      <x:c r="A54" s="1"/>
      <x:c r="B54" s="1"/>
      <x:c r="C54" s="1" t="str">
        <x:v>Y4-E合计 第1服务年</x:v>
      </x:c>
      <x:c r="D54" s="2" t="n">
        <x:f>37</x:f>
        <x:v>37</x:v>
      </x:c>
      <x:c r="E54" s="10" t="n">
        <x:v>0</x:v>
      </x:c>
      <x:c r="F54" s="2" t="n">
        <x:f>43+12*E54</x:f>
        <x:v>43</x:v>
      </x:c>
      <x:c r="G54" s="2" t="n">
        <x:f>F54+11</x:f>
        <x:v>54</x:v>
      </x:c>
      <x:c r="H54" s="8" t="n">
        <x:f>'假设'!D122*'项目单价'!E7*'假设'!D52*'假设'!D82^E54</x:f>
        <x:v>144</x:v>
      </x:c>
      <x:c r="I54" s="8" t="n">
        <x:f>'假设'!D122*'项目单价'!L7*12*'假设'!D57*'假设'!D82^E54</x:f>
        <x:v>43.199999999999996</x:v>
      </x:c>
      <x:c r="J54" s="2" t="n">
        <x:f>MAX(0,MIN(G54,12)-MAX(F54,1)+1)/12*H54</x:f>
        <x:v>0</x:v>
      </x:c>
      <x:c r="K54" s="2" t="n">
        <x:f>MAX(0,MIN(G54,24)-MAX(F54,13)+1)/12*H54</x:f>
        <x:v>0</x:v>
      </x:c>
      <x:c r="L54" s="2" t="n">
        <x:f>MAX(0,MIN(G54,36)-MAX(F54,25)+1)/12*H54</x:f>
        <x:v>0</x:v>
      </x:c>
      <x:c r="M54" s="2" t="n">
        <x:f>MAX(0,MIN(G54,48)-MAX(F54,37)+1)/12*H54</x:f>
        <x:v>72</x:v>
      </x:c>
      <x:c r="N54" s="2" t="n">
        <x:f>IF(AND(E54&gt;0,F54&gt;=1,F54&lt;=12),H54,0)</x:f>
        <x:v>0</x:v>
      </x:c>
      <x:c r="O54" s="2" t="n">
        <x:f>IF(AND(E54&gt;0,F54&gt;=13,F54&lt;=24),H54,0)</x:f>
        <x:v>0</x:v>
      </x:c>
      <x:c r="P54" s="2" t="n">
        <x:f>IF(AND(E54&gt;0,F54&gt;=25,F54&lt;=36),H54,0)</x:f>
        <x:v>0</x:v>
      </x:c>
      <x:c r="Q54" s="2" t="n">
        <x:f>IF(AND(E54&gt;0,F54&gt;=37,F54&lt;=48),H54,0)</x:f>
        <x:v>0</x:v>
      </x:c>
      <x:c r="R54" s="2" t="n">
        <x:f>IF(AND(D54&lt;=12,IF(E54=0,D54,F54)&lt;=12,G54&gt;=12),H54,0)</x:f>
        <x:v>0</x:v>
      </x:c>
      <x:c r="S54" s="2" t="n">
        <x:f>IF(AND(D54&lt;=24,IF(E54=0,D54,F54)&lt;=24,G54&gt;=24),H54,0)</x:f>
        <x:v>0</x:v>
      </x:c>
      <x:c r="T54" s="2" t="n">
        <x:f>IF(AND(D54&lt;=36,IF(E54=0,D54,F54)&lt;=36,G54&gt;=36),H54,0)</x:f>
        <x:v>0</x:v>
      </x:c>
      <x:c r="U54" s="2" t="n">
        <x:f>IF(AND(D54&lt;=48,IF(E54=0,D54,F54)&lt;=48,G54&gt;=48),H54,0)</x:f>
        <x:v>144</x:v>
      </x:c>
      <x:c r="V54" s="2" t="n">
        <x:f>MAX(0,MIN(G54,12)-MAX(F54,1)+1)/12*I54</x:f>
        <x:v>0</x:v>
      </x:c>
      <x:c r="W54" s="2" t="n">
        <x:f>MAX(0,MIN(G54,24)-MAX(F54,13)+1)/12*I54</x:f>
        <x:v>0</x:v>
      </x:c>
      <x:c r="X54" s="2" t="n">
        <x:f>MAX(0,MIN(G54,36)-MAX(F54,25)+1)/12*I54</x:f>
        <x:v>0</x:v>
      </x:c>
      <x:c r="Y54" s="2" t="n">
        <x:f>MAX(0,MIN(G54,48)-MAX(F54,37)+1)/12*I54</x:f>
        <x:v>21.599999999999998</x:v>
      </x:c>
    </x:row>
    <x:row r="55" ht="23" customHeight="1">
      <x:c r="A55" s="1"/>
      <x:c r="B55" s="1"/>
      <x:c r="C55" s="1" t="str">
        <x:v>Y4-E合计 第2服务年</x:v>
      </x:c>
      <x:c r="D55" s="2" t="n">
        <x:f>37</x:f>
        <x:v>37</x:v>
      </x:c>
      <x:c r="E55" s="10" t="n">
        <x:v>1</x:v>
      </x:c>
      <x:c r="F55" s="2" t="n">
        <x:f>43+12*E55</x:f>
        <x:v>55</x:v>
      </x:c>
      <x:c r="G55" s="2" t="n">
        <x:f>F55+11</x:f>
        <x:v>66</x:v>
      </x:c>
      <x:c r="H55" s="8" t="n">
        <x:f>'假设'!D122*'项目单价'!E7*'假设'!D52*'假设'!D82^E55</x:f>
        <x:v>129.6</x:v>
      </x:c>
      <x:c r="I55" s="8" t="n">
        <x:f>'假设'!D122*'项目单价'!L7*12*'假设'!D57*'假设'!D82^E55</x:f>
        <x:v>38.879999999999995</x:v>
      </x:c>
      <x:c r="J55" s="2" t="n">
        <x:f>MAX(0,MIN(G55,12)-MAX(F55,1)+1)/12*H55</x:f>
        <x:v>0</x:v>
      </x:c>
      <x:c r="K55" s="2" t="n">
        <x:f>MAX(0,MIN(G55,24)-MAX(F55,13)+1)/12*H55</x:f>
        <x:v>0</x:v>
      </x:c>
      <x:c r="L55" s="2" t="n">
        <x:f>MAX(0,MIN(G55,36)-MAX(F55,25)+1)/12*H55</x:f>
        <x:v>0</x:v>
      </x:c>
      <x:c r="M55" s="2" t="n">
        <x:f>MAX(0,MIN(G55,48)-MAX(F55,37)+1)/12*H55</x:f>
        <x:v>0</x:v>
      </x:c>
      <x:c r="N55" s="2" t="n">
        <x:f>IF(AND(E55&gt;0,F55&gt;=1,F55&lt;=12),H55,0)</x:f>
        <x:v>0</x:v>
      </x:c>
      <x:c r="O55" s="2" t="n">
        <x:f>IF(AND(E55&gt;0,F55&gt;=13,F55&lt;=24),H55,0)</x:f>
        <x:v>0</x:v>
      </x:c>
      <x:c r="P55" s="2" t="n">
        <x:f>IF(AND(E55&gt;0,F55&gt;=25,F55&lt;=36),H55,0)</x:f>
        <x:v>0</x:v>
      </x:c>
      <x:c r="Q55" s="2" t="n">
        <x:f>IF(AND(E55&gt;0,F55&gt;=37,F55&lt;=48),H55,0)</x:f>
        <x:v>0</x:v>
      </x:c>
      <x:c r="R55" s="2" t="n">
        <x:f>IF(AND(D55&lt;=12,IF(E55=0,D55,F55)&lt;=12,G55&gt;=12),H55,0)</x:f>
        <x:v>0</x:v>
      </x:c>
      <x:c r="S55" s="2" t="n">
        <x:f>IF(AND(D55&lt;=24,IF(E55=0,D55,F55)&lt;=24,G55&gt;=24),H55,0)</x:f>
        <x:v>0</x:v>
      </x:c>
      <x:c r="T55" s="2" t="n">
        <x:f>IF(AND(D55&lt;=36,IF(E55=0,D55,F55)&lt;=36,G55&gt;=36),H55,0)</x:f>
        <x:v>0</x:v>
      </x:c>
      <x:c r="U55" s="2" t="n">
        <x:f>IF(AND(D55&lt;=48,IF(E55=0,D55,F55)&lt;=48,G55&gt;=48),H55,0)</x:f>
        <x:v>0</x:v>
      </x:c>
      <x:c r="V55" s="2" t="n">
        <x:f>MAX(0,MIN(G55,12)-MAX(F55,1)+1)/12*I55</x:f>
        <x:v>0</x:v>
      </x:c>
      <x:c r="W55" s="2" t="n">
        <x:f>MAX(0,MIN(G55,24)-MAX(F55,13)+1)/12*I55</x:f>
        <x:v>0</x:v>
      </x:c>
      <x:c r="X55" s="2" t="n">
        <x:f>MAX(0,MIN(G55,36)-MAX(F55,25)+1)/12*I55</x:f>
        <x:v>0</x:v>
      </x:c>
      <x:c r="Y55" s="2" t="n">
        <x:f>MAX(0,MIN(G55,48)-MAX(F55,37)+1)/12*I55</x:f>
        <x:v>0</x:v>
      </x:c>
    </x:row>
    <x:row r="56" ht="23" customHeight="1">
      <x:c r="A56" s="1"/>
      <x:c r="B56" s="1"/>
      <x:c r="C56" s="1" t="str">
        <x:v>Y4-E合计 第3服务年</x:v>
      </x:c>
      <x:c r="D56" s="2" t="n">
        <x:f>37</x:f>
        <x:v>37</x:v>
      </x:c>
      <x:c r="E56" s="10" t="n">
        <x:v>2</x:v>
      </x:c>
      <x:c r="F56" s="2" t="n">
        <x:f>43+12*E56</x:f>
        <x:v>67</x:v>
      </x:c>
      <x:c r="G56" s="2" t="n">
        <x:f>F56+11</x:f>
        <x:v>78</x:v>
      </x:c>
      <x:c r="H56" s="8" t="n">
        <x:f>'假设'!D122*'项目单价'!E7*'假设'!D52*'假设'!D82^E56</x:f>
        <x:v>116.64000000000001</x:v>
      </x:c>
      <x:c r="I56" s="8" t="n">
        <x:f>'假设'!D122*'项目单价'!L7*12*'假设'!D57*'假设'!D82^E56</x:f>
        <x:v>34.992</x:v>
      </x:c>
      <x:c r="J56" s="2" t="n">
        <x:f>MAX(0,MIN(G56,12)-MAX(F56,1)+1)/12*H56</x:f>
        <x:v>0</x:v>
      </x:c>
      <x:c r="K56" s="2" t="n">
        <x:f>MAX(0,MIN(G56,24)-MAX(F56,13)+1)/12*H56</x:f>
        <x:v>0</x:v>
      </x:c>
      <x:c r="L56" s="2" t="n">
        <x:f>MAX(0,MIN(G56,36)-MAX(F56,25)+1)/12*H56</x:f>
        <x:v>0</x:v>
      </x:c>
      <x:c r="M56" s="2" t="n">
        <x:f>MAX(0,MIN(G56,48)-MAX(F56,37)+1)/12*H56</x:f>
        <x:v>0</x:v>
      </x:c>
      <x:c r="N56" s="2" t="n">
        <x:f>IF(AND(E56&gt;0,F56&gt;=1,F56&lt;=12),H56,0)</x:f>
        <x:v>0</x:v>
      </x:c>
      <x:c r="O56" s="2" t="n">
        <x:f>IF(AND(E56&gt;0,F56&gt;=13,F56&lt;=24),H56,0)</x:f>
        <x:v>0</x:v>
      </x:c>
      <x:c r="P56" s="2" t="n">
        <x:f>IF(AND(E56&gt;0,F56&gt;=25,F56&lt;=36),H56,0)</x:f>
        <x:v>0</x:v>
      </x:c>
      <x:c r="Q56" s="2" t="n">
        <x:f>IF(AND(E56&gt;0,F56&gt;=37,F56&lt;=48),H56,0)</x:f>
        <x:v>0</x:v>
      </x:c>
      <x:c r="R56" s="2" t="n">
        <x:f>IF(AND(D56&lt;=12,IF(E56=0,D56,F56)&lt;=12,G56&gt;=12),H56,0)</x:f>
        <x:v>0</x:v>
      </x:c>
      <x:c r="S56" s="2" t="n">
        <x:f>IF(AND(D56&lt;=24,IF(E56=0,D56,F56)&lt;=24,G56&gt;=24),H56,0)</x:f>
        <x:v>0</x:v>
      </x:c>
      <x:c r="T56" s="2" t="n">
        <x:f>IF(AND(D56&lt;=36,IF(E56=0,D56,F56)&lt;=36,G56&gt;=36),H56,0)</x:f>
        <x:v>0</x:v>
      </x:c>
      <x:c r="U56" s="2" t="n">
        <x:f>IF(AND(D56&lt;=48,IF(E56=0,D56,F56)&lt;=48,G56&gt;=48),H56,0)</x:f>
        <x:v>0</x:v>
      </x:c>
      <x:c r="V56" s="2" t="n">
        <x:f>MAX(0,MIN(G56,12)-MAX(F56,1)+1)/12*I56</x:f>
        <x:v>0</x:v>
      </x:c>
      <x:c r="W56" s="2" t="n">
        <x:f>MAX(0,MIN(G56,24)-MAX(F56,13)+1)/12*I56</x:f>
        <x:v>0</x:v>
      </x:c>
      <x:c r="X56" s="2" t="n">
        <x:f>MAX(0,MIN(G56,36)-MAX(F56,25)+1)/12*I56</x:f>
        <x:v>0</x:v>
      </x:c>
      <x:c r="Y56" s="2" t="n">
        <x:f>MAX(0,MIN(G56,48)-MAX(F56,37)+1)/12*I56</x:f>
        <x:v>0</x:v>
      </x:c>
    </x:row>
    <x:row r="57" ht="23" customHeight="1">
      <x:c r="A57" s="1"/>
      <x:c r="B57" s="1"/>
      <x:c r="C57" s="1" t="str">
        <x:v>Y4-E合计 第4服务年</x:v>
      </x:c>
      <x:c r="D57" s="2" t="n">
        <x:f>37</x:f>
        <x:v>37</x:v>
      </x:c>
      <x:c r="E57" s="10" t="n">
        <x:v>3</x:v>
      </x:c>
      <x:c r="F57" s="2" t="n">
        <x:f>43+12*E57</x:f>
        <x:v>79</x:v>
      </x:c>
      <x:c r="G57" s="2" t="n">
        <x:f>F57+11</x:f>
        <x:v>90</x:v>
      </x:c>
      <x:c r="H57" s="8" t="n">
        <x:f>'假设'!D122*'项目单价'!E7*'假设'!D52*'假设'!D82^E57</x:f>
        <x:v>104.97600000000001</x:v>
      </x:c>
      <x:c r="I57" s="8" t="n">
        <x:f>'假设'!D122*'项目单价'!L7*12*'假设'!D57*'假设'!D82^E57</x:f>
        <x:v>31.492800000000003</x:v>
      </x:c>
      <x:c r="J57" s="2" t="n">
        <x:f>MAX(0,MIN(G57,12)-MAX(F57,1)+1)/12*H57</x:f>
        <x:v>0</x:v>
      </x:c>
      <x:c r="K57" s="2" t="n">
        <x:f>MAX(0,MIN(G57,24)-MAX(F57,13)+1)/12*H57</x:f>
        <x:v>0</x:v>
      </x:c>
      <x:c r="L57" s="2" t="n">
        <x:f>MAX(0,MIN(G57,36)-MAX(F57,25)+1)/12*H57</x:f>
        <x:v>0</x:v>
      </x:c>
      <x:c r="M57" s="2" t="n">
        <x:f>MAX(0,MIN(G57,48)-MAX(F57,37)+1)/12*H57</x:f>
        <x:v>0</x:v>
      </x:c>
      <x:c r="N57" s="2" t="n">
        <x:f>IF(AND(E57&gt;0,F57&gt;=1,F57&lt;=12),H57,0)</x:f>
        <x:v>0</x:v>
      </x:c>
      <x:c r="O57" s="2" t="n">
        <x:f>IF(AND(E57&gt;0,F57&gt;=13,F57&lt;=24),H57,0)</x:f>
        <x:v>0</x:v>
      </x:c>
      <x:c r="P57" s="2" t="n">
        <x:f>IF(AND(E57&gt;0,F57&gt;=25,F57&lt;=36),H57,0)</x:f>
        <x:v>0</x:v>
      </x:c>
      <x:c r="Q57" s="2" t="n">
        <x:f>IF(AND(E57&gt;0,F57&gt;=37,F57&lt;=48),H57,0)</x:f>
        <x:v>0</x:v>
      </x:c>
      <x:c r="R57" s="2" t="n">
        <x:f>IF(AND(D57&lt;=12,IF(E57=0,D57,F57)&lt;=12,G57&gt;=12),H57,0)</x:f>
        <x:v>0</x:v>
      </x:c>
      <x:c r="S57" s="2" t="n">
        <x:f>IF(AND(D57&lt;=24,IF(E57=0,D57,F57)&lt;=24,G57&gt;=24),H57,0)</x:f>
        <x:v>0</x:v>
      </x:c>
      <x:c r="T57" s="2" t="n">
        <x:f>IF(AND(D57&lt;=36,IF(E57=0,D57,F57)&lt;=36,G57&gt;=36),H57,0)</x:f>
        <x:v>0</x:v>
      </x:c>
      <x:c r="U57" s="2" t="n">
        <x:f>IF(AND(D57&lt;=48,IF(E57=0,D57,F57)&lt;=48,G57&gt;=48),H57,0)</x:f>
        <x:v>0</x:v>
      </x:c>
      <x:c r="V57" s="2" t="n">
        <x:f>MAX(0,MIN(G57,12)-MAX(F57,1)+1)/12*I57</x:f>
        <x:v>0</x:v>
      </x:c>
      <x:c r="W57" s="2" t="n">
        <x:f>MAX(0,MIN(G57,24)-MAX(F57,13)+1)/12*I57</x:f>
        <x:v>0</x:v>
      </x:c>
      <x:c r="X57" s="2" t="n">
        <x:f>MAX(0,MIN(G57,36)-MAX(F57,25)+1)/12*I57</x:f>
        <x:v>0</x:v>
      </x:c>
      <x:c r="Y57" s="2" t="n">
        <x:f>MAX(0,MIN(G57,48)-MAX(F57,37)+1)/12*I57</x:f>
        <x:v>0</x:v>
      </x:c>
    </x:row>
    <x:row r="58" ht="23" customHeight="1">
      <x:c r="A58" s="1"/>
      <x:c r="B58" s="1"/>
      <x:c r="C58" s="1" t="str">
        <x:v>Y4-N合计 第1服务年</x:v>
      </x:c>
      <x:c r="D58" s="2" t="n">
        <x:f>37</x:f>
        <x:v>37</x:v>
      </x:c>
      <x:c r="E58" s="10" t="n">
        <x:v>0</x:v>
      </x:c>
      <x:c r="F58" s="2" t="n">
        <x:f>43+12*E58</x:f>
        <x:v>43</x:v>
      </x:c>
      <x:c r="G58" s="2" t="n">
        <x:f>F58+11</x:f>
        <x:v>54</x:v>
      </x:c>
      <x:c r="H58" s="8" t="n">
        <x:f>'假设'!D127*'项目单价'!E8*'假设'!D52*'假设'!D82^E58</x:f>
        <x:v>48</x:v>
      </x:c>
      <x:c r="I58" s="8" t="n">
        <x:f>'假设'!D127*'项目单价'!L8*12*'假设'!D57*'假设'!D82^E58</x:f>
        <x:v>14.399999999999999</x:v>
      </x:c>
      <x:c r="J58" s="2" t="n">
        <x:f>MAX(0,MIN(G58,12)-MAX(F58,1)+1)/12*H58</x:f>
        <x:v>0</x:v>
      </x:c>
      <x:c r="K58" s="2" t="n">
        <x:f>MAX(0,MIN(G58,24)-MAX(F58,13)+1)/12*H58</x:f>
        <x:v>0</x:v>
      </x:c>
      <x:c r="L58" s="2" t="n">
        <x:f>MAX(0,MIN(G58,36)-MAX(F58,25)+1)/12*H58</x:f>
        <x:v>0</x:v>
      </x:c>
      <x:c r="M58" s="2" t="n">
        <x:f>MAX(0,MIN(G58,48)-MAX(F58,37)+1)/12*H58</x:f>
        <x:v>24</x:v>
      </x:c>
      <x:c r="N58" s="2" t="n">
        <x:f>IF(AND(E58&gt;0,F58&gt;=1,F58&lt;=12),H58,0)</x:f>
        <x:v>0</x:v>
      </x:c>
      <x:c r="O58" s="2" t="n">
        <x:f>IF(AND(E58&gt;0,F58&gt;=13,F58&lt;=24),H58,0)</x:f>
        <x:v>0</x:v>
      </x:c>
      <x:c r="P58" s="2" t="n">
        <x:f>IF(AND(E58&gt;0,F58&gt;=25,F58&lt;=36),H58,0)</x:f>
        <x:v>0</x:v>
      </x:c>
      <x:c r="Q58" s="2" t="n">
        <x:f>IF(AND(E58&gt;0,F58&gt;=37,F58&lt;=48),H58,0)</x:f>
        <x:v>0</x:v>
      </x:c>
      <x:c r="R58" s="2" t="n">
        <x:f>IF(AND(D58&lt;=12,IF(E58=0,D58,F58)&lt;=12,G58&gt;=12),H58,0)</x:f>
        <x:v>0</x:v>
      </x:c>
      <x:c r="S58" s="2" t="n">
        <x:f>IF(AND(D58&lt;=24,IF(E58=0,D58,F58)&lt;=24,G58&gt;=24),H58,0)</x:f>
        <x:v>0</x:v>
      </x:c>
      <x:c r="T58" s="2" t="n">
        <x:f>IF(AND(D58&lt;=36,IF(E58=0,D58,F58)&lt;=36,G58&gt;=36),H58,0)</x:f>
        <x:v>0</x:v>
      </x:c>
      <x:c r="U58" s="2" t="n">
        <x:f>IF(AND(D58&lt;=48,IF(E58=0,D58,F58)&lt;=48,G58&gt;=48),H58,0)</x:f>
        <x:v>48</x:v>
      </x:c>
      <x:c r="V58" s="2" t="n">
        <x:f>MAX(0,MIN(G58,12)-MAX(F58,1)+1)/12*I58</x:f>
        <x:v>0</x:v>
      </x:c>
      <x:c r="W58" s="2" t="n">
        <x:f>MAX(0,MIN(G58,24)-MAX(F58,13)+1)/12*I58</x:f>
        <x:v>0</x:v>
      </x:c>
      <x:c r="X58" s="2" t="n">
        <x:f>MAX(0,MIN(G58,36)-MAX(F58,25)+1)/12*I58</x:f>
        <x:v>0</x:v>
      </x:c>
      <x:c r="Y58" s="2" t="n">
        <x:f>MAX(0,MIN(G58,48)-MAX(F58,37)+1)/12*I58</x:f>
        <x:v>7.199999999999999</x:v>
      </x:c>
    </x:row>
    <x:row r="59" ht="23" customHeight="1">
      <x:c r="A59" s="1"/>
      <x:c r="B59" s="1"/>
      <x:c r="C59" s="1" t="str">
        <x:v>Y4-N合计 第2服务年</x:v>
      </x:c>
      <x:c r="D59" s="2" t="n">
        <x:f>37</x:f>
        <x:v>37</x:v>
      </x:c>
      <x:c r="E59" s="10" t="n">
        <x:v>1</x:v>
      </x:c>
      <x:c r="F59" s="2" t="n">
        <x:f>43+12*E59</x:f>
        <x:v>55</x:v>
      </x:c>
      <x:c r="G59" s="2" t="n">
        <x:f>F59+11</x:f>
        <x:v>66</x:v>
      </x:c>
      <x:c r="H59" s="8" t="n">
        <x:f>'假设'!D127*'项目单价'!E8*'假设'!D52*'假设'!D82^E59</x:f>
        <x:v>43.2</x:v>
      </x:c>
      <x:c r="I59" s="8" t="n">
        <x:f>'假设'!D127*'项目单价'!L8*12*'假设'!D57*'假设'!D82^E59</x:f>
        <x:v>12.959999999999999</x:v>
      </x:c>
      <x:c r="J59" s="2" t="n">
        <x:f>MAX(0,MIN(G59,12)-MAX(F59,1)+1)/12*H59</x:f>
        <x:v>0</x:v>
      </x:c>
      <x:c r="K59" s="2" t="n">
        <x:f>MAX(0,MIN(G59,24)-MAX(F59,13)+1)/12*H59</x:f>
        <x:v>0</x:v>
      </x:c>
      <x:c r="L59" s="2" t="n">
        <x:f>MAX(0,MIN(G59,36)-MAX(F59,25)+1)/12*H59</x:f>
        <x:v>0</x:v>
      </x:c>
      <x:c r="M59" s="2" t="n">
        <x:f>MAX(0,MIN(G59,48)-MAX(F59,37)+1)/12*H59</x:f>
        <x:v>0</x:v>
      </x:c>
      <x:c r="N59" s="2" t="n">
        <x:f>IF(AND(E59&gt;0,F59&gt;=1,F59&lt;=12),H59,0)</x:f>
        <x:v>0</x:v>
      </x:c>
      <x:c r="O59" s="2" t="n">
        <x:f>IF(AND(E59&gt;0,F59&gt;=13,F59&lt;=24),H59,0)</x:f>
        <x:v>0</x:v>
      </x:c>
      <x:c r="P59" s="2" t="n">
        <x:f>IF(AND(E59&gt;0,F59&gt;=25,F59&lt;=36),H59,0)</x:f>
        <x:v>0</x:v>
      </x:c>
      <x:c r="Q59" s="2" t="n">
        <x:f>IF(AND(E59&gt;0,F59&gt;=37,F59&lt;=48),H59,0)</x:f>
        <x:v>0</x:v>
      </x:c>
      <x:c r="R59" s="2" t="n">
        <x:f>IF(AND(D59&lt;=12,IF(E59=0,D59,F59)&lt;=12,G59&gt;=12),H59,0)</x:f>
        <x:v>0</x:v>
      </x:c>
      <x:c r="S59" s="2" t="n">
        <x:f>IF(AND(D59&lt;=24,IF(E59=0,D59,F59)&lt;=24,G59&gt;=24),H59,0)</x:f>
        <x:v>0</x:v>
      </x:c>
      <x:c r="T59" s="2" t="n">
        <x:f>IF(AND(D59&lt;=36,IF(E59=0,D59,F59)&lt;=36,G59&gt;=36),H59,0)</x:f>
        <x:v>0</x:v>
      </x:c>
      <x:c r="U59" s="2" t="n">
        <x:f>IF(AND(D59&lt;=48,IF(E59=0,D59,F59)&lt;=48,G59&gt;=48),H59,0)</x:f>
        <x:v>0</x:v>
      </x:c>
      <x:c r="V59" s="2" t="n">
        <x:f>MAX(0,MIN(G59,12)-MAX(F59,1)+1)/12*I59</x:f>
        <x:v>0</x:v>
      </x:c>
      <x:c r="W59" s="2" t="n">
        <x:f>MAX(0,MIN(G59,24)-MAX(F59,13)+1)/12*I59</x:f>
        <x:v>0</x:v>
      </x:c>
      <x:c r="X59" s="2" t="n">
        <x:f>MAX(0,MIN(G59,36)-MAX(F59,25)+1)/12*I59</x:f>
        <x:v>0</x:v>
      </x:c>
      <x:c r="Y59" s="2" t="n">
        <x:f>MAX(0,MIN(G59,48)-MAX(F59,37)+1)/12*I59</x:f>
        <x:v>0</x:v>
      </x:c>
    </x:row>
    <x:row r="60" ht="23" customHeight="1">
      <x:c r="A60" s="1"/>
      <x:c r="B60" s="1"/>
      <x:c r="C60" s="1" t="str">
        <x:v>Y4-N合计 第3服务年</x:v>
      </x:c>
      <x:c r="D60" s="2" t="n">
        <x:f>37</x:f>
        <x:v>37</x:v>
      </x:c>
      <x:c r="E60" s="10" t="n">
        <x:v>2</x:v>
      </x:c>
      <x:c r="F60" s="2" t="n">
        <x:f>43+12*E60</x:f>
        <x:v>67</x:v>
      </x:c>
      <x:c r="G60" s="2" t="n">
        <x:f>F60+11</x:f>
        <x:v>78</x:v>
      </x:c>
      <x:c r="H60" s="8" t="n">
        <x:f>'假设'!D127*'项目单价'!E8*'假设'!D52*'假设'!D82^E60</x:f>
        <x:v>38.88</x:v>
      </x:c>
      <x:c r="I60" s="8" t="n">
        <x:f>'假设'!D127*'项目单价'!L8*12*'假设'!D57*'假设'!D82^E60</x:f>
        <x:v>11.664</x:v>
      </x:c>
      <x:c r="J60" s="2" t="n">
        <x:f>MAX(0,MIN(G60,12)-MAX(F60,1)+1)/12*H60</x:f>
        <x:v>0</x:v>
      </x:c>
      <x:c r="K60" s="2" t="n">
        <x:f>MAX(0,MIN(G60,24)-MAX(F60,13)+1)/12*H60</x:f>
        <x:v>0</x:v>
      </x:c>
      <x:c r="L60" s="2" t="n">
        <x:f>MAX(0,MIN(G60,36)-MAX(F60,25)+1)/12*H60</x:f>
        <x:v>0</x:v>
      </x:c>
      <x:c r="M60" s="2" t="n">
        <x:f>MAX(0,MIN(G60,48)-MAX(F60,37)+1)/12*H60</x:f>
        <x:v>0</x:v>
      </x:c>
      <x:c r="N60" s="2" t="n">
        <x:f>IF(AND(E60&gt;0,F60&gt;=1,F60&lt;=12),H60,0)</x:f>
        <x:v>0</x:v>
      </x:c>
      <x:c r="O60" s="2" t="n">
        <x:f>IF(AND(E60&gt;0,F60&gt;=13,F60&lt;=24),H60,0)</x:f>
        <x:v>0</x:v>
      </x:c>
      <x:c r="P60" s="2" t="n">
        <x:f>IF(AND(E60&gt;0,F60&gt;=25,F60&lt;=36),H60,0)</x:f>
        <x:v>0</x:v>
      </x:c>
      <x:c r="Q60" s="2" t="n">
        <x:f>IF(AND(E60&gt;0,F60&gt;=37,F60&lt;=48),H60,0)</x:f>
        <x:v>0</x:v>
      </x:c>
      <x:c r="R60" s="2" t="n">
        <x:f>IF(AND(D60&lt;=12,IF(E60=0,D60,F60)&lt;=12,G60&gt;=12),H60,0)</x:f>
        <x:v>0</x:v>
      </x:c>
      <x:c r="S60" s="2" t="n">
        <x:f>IF(AND(D60&lt;=24,IF(E60=0,D60,F60)&lt;=24,G60&gt;=24),H60,0)</x:f>
        <x:v>0</x:v>
      </x:c>
      <x:c r="T60" s="2" t="n">
        <x:f>IF(AND(D60&lt;=36,IF(E60=0,D60,F60)&lt;=36,G60&gt;=36),H60,0)</x:f>
        <x:v>0</x:v>
      </x:c>
      <x:c r="U60" s="2" t="n">
        <x:f>IF(AND(D60&lt;=48,IF(E60=0,D60,F60)&lt;=48,G60&gt;=48),H60,0)</x:f>
        <x:v>0</x:v>
      </x:c>
      <x:c r="V60" s="2" t="n">
        <x:f>MAX(0,MIN(G60,12)-MAX(F60,1)+1)/12*I60</x:f>
        <x:v>0</x:v>
      </x:c>
      <x:c r="W60" s="2" t="n">
        <x:f>MAX(0,MIN(G60,24)-MAX(F60,13)+1)/12*I60</x:f>
        <x:v>0</x:v>
      </x:c>
      <x:c r="X60" s="2" t="n">
        <x:f>MAX(0,MIN(G60,36)-MAX(F60,25)+1)/12*I60</x:f>
        <x:v>0</x:v>
      </x:c>
      <x:c r="Y60" s="2" t="n">
        <x:f>MAX(0,MIN(G60,48)-MAX(F60,37)+1)/12*I60</x:f>
        <x:v>0</x:v>
      </x:c>
    </x:row>
    <x:row r="61" ht="23" customHeight="1">
      <x:c r="A61" s="1"/>
      <x:c r="B61" s="1"/>
      <x:c r="C61" s="1" t="str">
        <x:v>Y4-N合计 第4服务年</x:v>
      </x:c>
      <x:c r="D61" s="2" t="n">
        <x:f>37</x:f>
        <x:v>37</x:v>
      </x:c>
      <x:c r="E61" s="10" t="n">
        <x:v>3</x:v>
      </x:c>
      <x:c r="F61" s="2" t="n">
        <x:f>43+12*E61</x:f>
        <x:v>79</x:v>
      </x:c>
      <x:c r="G61" s="2" t="n">
        <x:f>F61+11</x:f>
        <x:v>90</x:v>
      </x:c>
      <x:c r="H61" s="8" t="n">
        <x:f>'假设'!D127*'项目单价'!E8*'假设'!D52*'假设'!D82^E61</x:f>
        <x:v>34.992000000000004</x:v>
      </x:c>
      <x:c r="I61" s="8" t="n">
        <x:f>'假设'!D127*'项目单价'!L8*12*'假设'!D57*'假设'!D82^E61</x:f>
        <x:v>10.4976</x:v>
      </x:c>
      <x:c r="J61" s="2" t="n">
        <x:f>MAX(0,MIN(G61,12)-MAX(F61,1)+1)/12*H61</x:f>
        <x:v>0</x:v>
      </x:c>
      <x:c r="K61" s="2" t="n">
        <x:f>MAX(0,MIN(G61,24)-MAX(F61,13)+1)/12*H61</x:f>
        <x:v>0</x:v>
      </x:c>
      <x:c r="L61" s="2" t="n">
        <x:f>MAX(0,MIN(G61,36)-MAX(F61,25)+1)/12*H61</x:f>
        <x:v>0</x:v>
      </x:c>
      <x:c r="M61" s="2" t="n">
        <x:f>MAX(0,MIN(G61,48)-MAX(F61,37)+1)/12*H61</x:f>
        <x:v>0</x:v>
      </x:c>
      <x:c r="N61" s="2" t="n">
        <x:f>IF(AND(E61&gt;0,F61&gt;=1,F61&lt;=12),H61,0)</x:f>
        <x:v>0</x:v>
      </x:c>
      <x:c r="O61" s="2" t="n">
        <x:f>IF(AND(E61&gt;0,F61&gt;=13,F61&lt;=24),H61,0)</x:f>
        <x:v>0</x:v>
      </x:c>
      <x:c r="P61" s="2" t="n">
        <x:f>IF(AND(E61&gt;0,F61&gt;=25,F61&lt;=36),H61,0)</x:f>
        <x:v>0</x:v>
      </x:c>
      <x:c r="Q61" s="2" t="n">
        <x:f>IF(AND(E61&gt;0,F61&gt;=37,F61&lt;=48),H61,0)</x:f>
        <x:v>0</x:v>
      </x:c>
      <x:c r="R61" s="2" t="n">
        <x:f>IF(AND(D61&lt;=12,IF(E61=0,D61,F61)&lt;=12,G61&gt;=12),H61,0)</x:f>
        <x:v>0</x:v>
      </x:c>
      <x:c r="S61" s="2" t="n">
        <x:f>IF(AND(D61&lt;=24,IF(E61=0,D61,F61)&lt;=24,G61&gt;=24),H61,0)</x:f>
        <x:v>0</x:v>
      </x:c>
      <x:c r="T61" s="2" t="n">
        <x:f>IF(AND(D61&lt;=36,IF(E61=0,D61,F61)&lt;=36,G61&gt;=36),H61,0)</x:f>
        <x:v>0</x:v>
      </x:c>
      <x:c r="U61" s="2" t="n">
        <x:f>IF(AND(D61&lt;=48,IF(E61=0,D61,F61)&lt;=48,G61&gt;=48),H61,0)</x:f>
        <x:v>0</x:v>
      </x:c>
      <x:c r="V61" s="2" t="n">
        <x:f>MAX(0,MIN(G61,12)-MAX(F61,1)+1)/12*I61</x:f>
        <x:v>0</x:v>
      </x:c>
      <x:c r="W61" s="2" t="n">
        <x:f>MAX(0,MIN(G61,24)-MAX(F61,13)+1)/12*I61</x:f>
        <x:v>0</x:v>
      </x:c>
      <x:c r="X61" s="2" t="n">
        <x:f>MAX(0,MIN(G61,36)-MAX(F61,25)+1)/12*I61</x:f>
        <x:v>0</x:v>
      </x:c>
      <x:c r="Y61" s="2" t="n">
        <x:f>MAX(0,MIN(G61,48)-MAX(F61,37)+1)/12*I61</x:f>
        <x:v>0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31" hidden="0" customWidth="1"/>
    <x:col min="4" max="4" width="30" hidden="0" customWidth="1"/>
    <x:col min="5" max="5" width="80" hidden="0" customWidth="1"/>
  </x:cols>
  <x:sheetData>
    <x:row r="1" ht="23" customHeight="1">
      <x:c r="A1" s="1"/>
      <x:c r="B1" s="1"/>
      <x:c r="C1" s="1"/>
      <x:c r="D1" s="1"/>
      <x:c r="E1" s="1"/>
    </x:row>
    <x:row r="2" ht="23" customHeight="1">
      <x:c r="A2" s="1"/>
      <x:c r="B2" s="1"/>
      <x:c r="C2" s="3" t="str">
        <x:v>布比中东 资金与边界（金额：万美元）</x:v>
      </x:c>
      <x:c r="D2" s="3"/>
      <x:c r="E2" s="3"/>
    </x:row>
    <x:row r="3" ht="23" customHeight="1">
      <x:c r="A3" s="1"/>
      <x:c r="B3" s="1"/>
      <x:c r="C3" s="1" t="str">
        <x:v>情景</x:v>
      </x:c>
      <x:c r="D3" s="8" t="str">
        <x:f>CHOOSE('假设'!D4,"谨慎进入","资源到位目标","突破目标")</x:f>
        <x:v>资源到位目标</x:v>
      </x:c>
      <x:c r="E3" s="1"/>
    </x:row>
    <x:row r="4" ht="23" customHeight="1">
      <x:c r="A4" s="1"/>
      <x:c r="B4" s="1"/>
      <x:c r="C4" s="1"/>
      <x:c r="D4" s="1"/>
      <x:c r="E4" s="1"/>
    </x:row>
    <x:row r="5" ht="32" customHeight="1">
      <x:c r="A5" s="1"/>
      <x:c r="B5" s="1"/>
      <x:c r="C5" s="6" t="str">
        <x:v>项目</x:v>
      </x:c>
      <x:c r="D5" s="6" t="str">
        <x:v>输入/公式</x:v>
      </x:c>
      <x:c r="E5" s="6" t="str">
        <x:v>解释</x:v>
      </x:c>
    </x:row>
    <x:row r="6" ht="23" customHeight="1">
      <x:c r="A6" s="1"/>
      <x:c r="B6" s="1"/>
      <x:c r="C6" s="1" t="str">
        <x:v>基础周转含储备</x:v>
      </x:c>
      <x:c r="D6" s="8" t="n">
        <x:f>'经营总览'!D16</x:f>
        <x:v>108.24522104444227</x:v>
      </x:c>
      <x:c r="E6" s="1" t="str">
        <x:v>合同排期模型输出，不含下面未知附加项</x:v>
      </x:c>
    </x:row>
    <x:row r="7" ht="23" customHeight="1">
      <x:c r="A7" s="1"/>
      <x:c r="B7" s="1"/>
      <x:c r="C7" s="1" t="str">
        <x:v>不可回收税费压力比例</x:v>
      </x:c>
      <x:c r="D7" s="15" t="n">
        <x:v>0.05</x:v>
      </x:c>
      <x:c r="E7" s="1" t="str">
        <x:v>H：商业压力参数，不是任何当地法定税率</x:v>
      </x:c>
    </x:row>
    <x:row r="8" ht="23" customHeight="1">
      <x:c r="A8" s="1"/>
      <x:c r="B8" s="1"/>
      <x:c r="C8" s="1" t="str">
        <x:v>税费压力额</x:v>
      </x:c>
      <x:c r="D8" s="8" t="n">
        <x:f>'经营总览'!D6*D7</x:f>
        <x:v>23.8</x:v>
      </x:c>
      <x:c r="E8" s="1" t="str">
        <x:v>保守假设合同全额当年现金支出；不按收入率直接充当税费</x:v>
      </x:c>
    </x:row>
    <x:row r="9" ht="23" customHeight="1">
      <x:c r="A9" s="1"/>
      <x:c r="B9" s="1"/>
      <x:c r="C9" s="1" t="str">
        <x:v>保函现金比例</x:v>
      </x:c>
      <x:c r="D9" s="15" t="n">
        <x:v>0.1</x:v>
      </x:c>
      <x:c r="E9" s="1" t="str">
        <x:v>H：按实施合同额计，尚无采购方要求</x:v>
      </x:c>
    </x:row>
    <x:row r="10" ht="23" customHeight="1">
      <x:c r="A10" s="1"/>
      <x:c r="B10" s="1"/>
      <x:c r="C10" s="1" t="str">
        <x:v>保函覆盖合同比例</x:v>
      </x:c>
      <x:c r="D10" s="15" t="n">
        <x:v>0.5</x:v>
      </x:c>
      <x:c r="E10" s="1" t="str">
        <x:v>H：由实际采购条款替换</x:v>
      </x:c>
    </x:row>
    <x:row r="11" ht="23" customHeight="1">
      <x:c r="A11" s="1"/>
      <x:c r="B11" s="1"/>
      <x:c r="C11" s="1" t="str">
        <x:v>现金保证金冻结</x:v>
      </x:c>
      <x:c r="D11" s="8" t="n">
        <x:f>SUMIFS('合同排期'!K6:K25,'合同排期'!H6:H25,"&lt;=12")*D9*D10</x:f>
        <x:v>20.200000000000003</x:v>
      </x:c>
      <x:c r="E11" s="1" t="str">
        <x:v>冻结占用，不是损益成本</x:v>
      </x:c>
    </x:row>
    <x:row r="12" ht="23" customHeight="1">
      <x:c r="A12" s="1"/>
      <x:c r="B12" s="1"/>
      <x:c r="C12" s="1" t="str">
        <x:v>附加占用保守合计</x:v>
      </x:c>
      <x:c r="D12" s="2" t="n">
        <x:f>D8+D11</x:f>
        <x:v>44</x:v>
      </x:c>
      <x:c r="E12" s="1" t="str">
        <x:v>未扣释放和抵扣；非预计真实发生额</x:v>
      </x:c>
    </x:row>
    <x:row r="13" ht="23" customHeight="1">
      <x:c r="A13" s="1"/>
      <x:c r="B13" s="1"/>
      <x:c r="C13" s="1" t="str">
        <x:v>基础加附加占用</x:v>
      </x:c>
      <x:c r="D13" s="2" t="n">
        <x:f>D6+D12</x:f>
        <x:v>152.24522104444227</x:v>
      </x:c>
      <x:c r="E13" s="1" t="str">
        <x:v>另需核定可抵扣税款净占用、设备及融资，不在此编造为0</x:v>
      </x:c>
    </x:row>
    <x:row r="14" ht="23" customHeight="1">
      <x:c r="A14" s="1"/>
      <x:c r="B14" s="1"/>
      <x:c r="C14" s="1"/>
      <x:c r="D14" s="1"/>
      <x:c r="E14" s="1"/>
    </x:row>
    <x:row r="15" ht="23" customHeight="1">
      <x:c r="A15" s="1"/>
      <x:c r="B15" s="1"/>
      <x:c r="C15" s="1" t="str">
        <x:v>拨款第1批 M1</x:v>
      </x:c>
      <x:c r="D15" s="10" t="n">
        <x:v>50</x:v>
      </x:c>
      <x:c r="E15" s="1" t="str">
        <x:v>建议授权条件：核心产品与预算责任人确定</x:v>
      </x:c>
    </x:row>
    <x:row r="16" ht="23" customHeight="1">
      <x:c r="A16" s="1"/>
      <x:c r="B16" s="1"/>
      <x:c r="C16" s="1" t="str">
        <x:v>拨款第2批 最迟M3末</x:v>
      </x:c>
      <x:c r="D16" s="10" t="n">
        <x:v>50</x:v>
      </x:c>
      <x:c r="E16" s="1" t="str">
        <x:v>按13周预测提前；不能等现金降至0后再审批</x:v>
      </x:c>
    </x:row>
    <x:row r="17" ht="23" customHeight="1">
      <x:c r="A17" s="1"/>
      <x:c r="B17" s="1"/>
      <x:c r="C17" s="1" t="str">
        <x:v>拨款第3批 最迟M5末</x:v>
      </x:c>
      <x:c r="D17" s="10" t="n">
        <x:v>20</x:v>
      </x:c>
      <x:c r="E17" s="1" t="str">
        <x:v>累计120，需资源与合同条件；未达标先重排支出</x:v>
      </x:c>
    </x:row>
    <x:row r="18" ht="23" customHeight="1">
      <x:c r="A18" s="1"/>
      <x:c r="B18" s="1"/>
      <x:c r="C18" s="1" t="str">
        <x:v>M6累计资金剩余</x:v>
      </x:c>
      <x:c r="D18" s="8" t="n">
        <x:f>SUM(D15:D17)+'月度经营'!J19</x:f>
        <x:v>38.365096178158126</x:v>
      </x:c>
      <x:c r="E18" s="1" t="str">
        <x:v>不含本页额外占用；参考基准结果</x:v>
      </x:c>
    </x:row>
    <x:row r="19" ht="23" customHeight="1">
      <x:c r="A19" s="1"/>
      <x:c r="B19" s="1"/>
      <x:c r="C19" s="1" t="str">
        <x:v>原方案80万对M6缺口</x:v>
      </x:c>
      <x:c r="D19" s="8" t="n">
        <x:f>80+'月度经营'!J19</x:f>
        <x:v>-1.634903821841874</x:v>
      </x:c>
      <x:c r="E19" s="1" t="str">
        <x:v>负值证明原拨款节奏无法支持原排期</x:v>
      </x:c>
    </x:row>
    <x:row r="20" ht="23" customHeight="1">
      <x:c r="A20" s="1"/>
      <x:c r="B20" s="1"/>
      <x:c r="C20" s="1"/>
      <x:c r="D20" s="1"/>
      <x:c r="E20" s="1"/>
    </x:row>
    <x:row r="21" ht="23" customHeight="1">
      <x:c r="A21" s="1"/>
      <x:c r="B21" s="1"/>
      <x:c r="C21" s="1" t="str">
        <x:v>资源口径</x:v>
      </x:c>
      <x:c r="D21" s="1" t="str">
        <x:v>实施工程峰值，不含支持服务人力</x:v>
      </x:c>
      <x:c r="E21" s="1" t="str">
        <x:v>支持预算已含成本，但需另备服务容量；36人不是全团队峰值</x:v>
      </x:c>
    </x:row>
    <x:row r="22" ht="23" customHeight="1">
      <x:c r="A22" s="1"/>
      <x:c r="B22" s="1"/>
      <x:c r="C22" s="1" t="str">
        <x:v>预算状态</x:v>
      </x:c>
      <x:c r="D22" s="1" t="str">
        <x:v>报价、税务及合同结构未实证</x:v>
      </x:c>
      <x:c r="E22" s="1" t="str">
        <x:v>工作簿支持条件推演，不可直接当已批准的总投资额</x:v>
      </x:c>
    </x:row>
  </x:sheetData>
  <x:pageMargins left="0.7" right="0.7" top="0.75" bottom="0.75" header="0.3" footer="0.3"/>
</x:worksheet>
</file>